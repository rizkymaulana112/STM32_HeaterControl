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ripsi\Data\"/>
    </mc:Choice>
  </mc:AlternateContent>
  <xr:revisionPtr revIDLastSave="0" documentId="13_ncr:1_{B414D26C-7638-43A7-A06D-AAECFEA14689}" xr6:coauthVersionLast="47" xr6:coauthVersionMax="47" xr10:uidLastSave="{00000000-0000-0000-0000-000000000000}"/>
  <bookViews>
    <workbookView xWindow="-108" yWindow="-108" windowWidth="23256" windowHeight="12456" xr2:uid="{68CA3287-A6D3-4D12-9B65-D5F3C5E2C0C3}"/>
  </bookViews>
  <sheets>
    <sheet name="Sheet1" sheetId="1" r:id="rId1"/>
    <sheet name="Data In" sheetId="5" r:id="rId2"/>
    <sheet name="Data Out" sheetId="4" r:id="rId3"/>
    <sheet name="Settings" sheetId="3" r:id="rId4"/>
    <sheet name="Manifest" sheetId="2" r:id="rId5"/>
  </sheets>
  <definedNames>
    <definedName name="DataChannelCountSetting">Settings!$C$8</definedName>
    <definedName name="DataDelaySetting">Settings!$C$4</definedName>
    <definedName name="DataOrientationSetting">Settings!$C$10</definedName>
    <definedName name="DataRowCountSetting">Settings!$C$6</definedName>
    <definedName name="Manifest_BaudRate">Manifest!$I$9</definedName>
    <definedName name="Manifest_DataInterval">Manifest!$I$7</definedName>
    <definedName name="Manifest_Generated">Manifest!$K$5</definedName>
    <definedName name="Manifest_Id">Manifest!$I$5:$J$5</definedName>
    <definedName name="Manifest_Schema">Manifest!$L$1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0" i="1" l="1"/>
  <c r="AA29" i="1" a="1"/>
  <c r="AA29" i="1" s="1"/>
  <c r="K31" i="1" a="1"/>
  <c r="K31" i="1" s="1"/>
  <c r="AA27" i="1" a="1"/>
  <c r="AA27" i="1" s="1"/>
  <c r="K29" i="1" a="1"/>
  <c r="K29" i="1" s="1"/>
  <c r="AA25" i="1" a="1"/>
  <c r="AA25" i="1" s="1"/>
  <c r="K27" i="1" a="1"/>
  <c r="K27" i="1" s="1"/>
  <c r="AE22" i="1"/>
  <c r="AE23" i="1" s="1"/>
  <c r="AC22" i="1"/>
  <c r="AC23" i="1" s="1"/>
  <c r="AA22" i="1"/>
  <c r="AA23" i="1" s="1"/>
  <c r="K24" i="1"/>
  <c r="K25" i="1" s="1"/>
  <c r="AE20" i="1"/>
  <c r="AC20" i="1"/>
  <c r="K22" i="1"/>
  <c r="AE18" i="1"/>
  <c r="AF17" i="1"/>
  <c r="AE17" i="1"/>
  <c r="AD17" i="1"/>
  <c r="AC18" i="1"/>
  <c r="AC17" i="1"/>
  <c r="AA17" i="1"/>
  <c r="AA18" i="1"/>
  <c r="AB17" i="1"/>
  <c r="K19" i="1"/>
  <c r="O24" i="1"/>
  <c r="O25" i="1" s="1"/>
  <c r="O22" i="1"/>
  <c r="M22" i="1"/>
  <c r="O20" i="1"/>
  <c r="P19" i="1"/>
  <c r="O19" i="1"/>
  <c r="N19" i="1"/>
  <c r="M19" i="1"/>
  <c r="M24" i="1"/>
  <c r="M25" i="1" s="1"/>
  <c r="M20" i="1"/>
  <c r="L19" i="1"/>
  <c r="K2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<sst xmlns="http://schemas.openxmlformats.org/spreadsheetml/2006/main" count="166" uniqueCount="66">
  <si>
    <t>Channels</t>
  </si>
  <si>
    <t>Data Source Id</t>
  </si>
  <si>
    <t>Data Interval (ms)</t>
  </si>
  <si>
    <t>Baud Rate</t>
  </si>
  <si>
    <t>STMicroelectronics STLink Virtual COM Port</t>
  </si>
  <si>
    <t>This manifest was generated for the connected device. You can edit the device name and channel data here and the Data In worksheet will be updated.</t>
  </si>
  <si>
    <t>Id</t>
  </si>
  <si>
    <t>Name</t>
  </si>
  <si>
    <t>Description</t>
  </si>
  <si>
    <t>Unit of Measure</t>
  </si>
  <si>
    <t>Active</t>
  </si>
  <si>
    <t>CH1</t>
  </si>
  <si>
    <t>ü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</si>
  <si>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</si>
  <si>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</si>
  <si>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</si>
  <si>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</si>
  <si>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</si>
  <si>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</si>
  <si>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</si>
  <si>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</si>
  <si>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</si>
  <si>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Workbook Settings</t>
  </si>
  <si>
    <t>Settings below will affect how data is read into the current workbook from data sources. Clear a field's contents to revert to its default setting.</t>
  </si>
  <si>
    <t>Data interval (ms)</t>
  </si>
  <si>
    <t>Data rows</t>
  </si>
  <si>
    <t>Data channels</t>
  </si>
  <si>
    <t>Data orientation</t>
  </si>
  <si>
    <t>Newest last</t>
  </si>
  <si>
    <r>
      <t>WARNING:</t>
    </r>
    <r>
      <rPr>
        <sz val="11"/>
        <color theme="1"/>
        <rFont val="Segoe UI Light"/>
        <family val="2"/>
      </rPr>
      <t xml:space="preserve"> Changing settings may result in the loss of content and/or custom formatting in the Data In and Data Out worksheets. Always save before changing values.</t>
    </r>
  </si>
  <si>
    <t>Data Out (To Device)</t>
  </si>
  <si>
    <t>Data entered into the channels below will be sent to the currently connected device as a comma-delimited string.</t>
  </si>
  <si>
    <t>Data coming from the current data source will appear below as it is received.</t>
  </si>
  <si>
    <t>Current Data</t>
  </si>
  <si>
    <t>TIME</t>
  </si>
  <si>
    <t>Historical Data</t>
  </si>
  <si>
    <t>t</t>
  </si>
  <si>
    <t>ta</t>
  </si>
  <si>
    <t>tsp</t>
  </si>
  <si>
    <t>e</t>
  </si>
  <si>
    <t>de</t>
  </si>
  <si>
    <t>pwm</t>
  </si>
  <si>
    <t>Maksimum overshoot</t>
  </si>
  <si>
    <t>SSE</t>
  </si>
  <si>
    <t>IAE</t>
  </si>
  <si>
    <t>ISE</t>
  </si>
  <si>
    <t>ITAE</t>
  </si>
  <si>
    <t>rise time</t>
  </si>
  <si>
    <t>Rata2</t>
  </si>
  <si>
    <t>SP 50</t>
  </si>
  <si>
    <t>SP 65</t>
  </si>
  <si>
    <t>SP 80</t>
  </si>
  <si>
    <t>maksimum overshoot</t>
  </si>
  <si>
    <t>rata2</t>
  </si>
  <si>
    <t>Data In (From STMicroelectronics STLink Virtual COM Port (COM14))</t>
  </si>
  <si>
    <t>20670BFC-EC18-4FAD-80C3-AE2F060F21B7</t>
  </si>
  <si>
    <t>{"Channels":[{"Description":null,"Id":null,"IsGhost":false,"Name":null,"Status":"Active","SubChannels":[{"Description":null,"Id":"CH1","IsGhost":false,"Name":"CH1","Status":"Active","SubChannels":[],"UnitOfMeasure":null},{"Description":null,"Id":"CH2","IsGhost":false,"Name":"CH2","Status":"Active","SubChannels":[],"UnitOfMeasure":null},{"Description":null,"Id":"CH3","IsGhost":false,"Name":"CH3","Status":"Active","SubChannels":[],"UnitOfMeasure":null},{"Description":null,"Id":"CH4","IsGhost":false,"Name":"CH4","Status":"Active","SubChannels":[],"UnitOfMeasure":null},{"Description":null,"Id":"CH5","IsGhost":false,"Name":"CH5","Status":"Active","SubChannels":[],"UnitOfMeasure":null},{"Description":null,"Id":"CH6","IsGhost":false,"Name":"CH6","Status":"Active","SubChannels":[],"UnitOfMeasure":null},{"Description":null,"Id":"CH7","IsGhost":false,"Name":"CH7","Status":"Active","SubChannels":[],"UnitOfMeasure":null},{"Description":null,"Id":"CH8","IsGhost":false,"Name":"CH8","Status":"Active","SubChannels":[],"UnitOfMeasure":null},{"Description":null,"Id":"CH9","IsGhost":false,"Name":"CH9","Status":"Active","SubChannels":[],"UnitOfMeasure":null},{"Description":null,"Id":"CH10","IsGhost":false,"Name":"CH10","Status":"Active","SubChannels":[],"UnitOfMeasure":null}],"UnitOfMeasure":null}],"Commands":[],"DataInterval":100,"Id":"20670BFC-EC18-4FAD-80C3-AE2F060F21B7","IsGenerated":true,"Name":"STMicroelectronics STLink Virtual COM Port","Version":null,"BaudRate":115200}</t>
  </si>
  <si>
    <t>22.0.43</t>
  </si>
  <si>
    <t>Aspek Perbandingan</t>
  </si>
  <si>
    <r>
      <t>Rise time</t>
    </r>
    <r>
      <rPr>
        <sz val="7"/>
        <color theme="1"/>
        <rFont val="Times New Roman"/>
        <family val="1"/>
      </rPr>
      <t xml:space="preserve"> (s)</t>
    </r>
  </si>
  <si>
    <r>
      <t xml:space="preserve">Maksumum </t>
    </r>
    <r>
      <rPr>
        <i/>
        <sz val="7"/>
        <color theme="1"/>
        <rFont val="Times New Roman"/>
        <family val="1"/>
      </rPr>
      <t>Overshoot</t>
    </r>
    <r>
      <rPr>
        <sz val="7"/>
        <color theme="1"/>
        <rFont val="Times New Roman"/>
        <family val="1"/>
      </rPr>
      <t>(%)</t>
    </r>
  </si>
  <si>
    <t>SSE(%)</t>
  </si>
  <si>
    <r>
      <t>Setpoint</t>
    </r>
    <r>
      <rPr>
        <sz val="7"/>
        <color theme="1"/>
        <rFont val="Times New Roman"/>
        <family val="1"/>
      </rPr>
      <t xml:space="preserve"> (℃)</t>
    </r>
  </si>
  <si>
    <t>GS PID</t>
  </si>
  <si>
    <t>FM</t>
  </si>
  <si>
    <r>
      <t xml:space="preserve">Maksimum </t>
    </r>
    <r>
      <rPr>
        <i/>
        <sz val="7"/>
        <color theme="1"/>
        <rFont val="Times New Roman"/>
        <family val="1"/>
      </rPr>
      <t>Overshoot</t>
    </r>
    <r>
      <rPr>
        <sz val="7"/>
        <color theme="1"/>
        <rFont val="Times New Roman"/>
        <family val="1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</si>
</sst>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h:mm:ss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  <font>
      <sz val="16"/>
      <color rgb="FF696969"/>
      <name val="Segoe UI Light"/>
      <family val="2"/>
    </font>
    <font>
      <sz val="1"/>
      <color rgb="FFFFFFFF"/>
      <name val="Aptos Narrow"/>
      <family val="2"/>
      <scheme val="minor"/>
    </font>
    <font>
      <sz val="11"/>
      <color rgb="FF000000"/>
      <name val="Segoe UI Light"/>
      <family val="2"/>
    </font>
    <font>
      <sz val="10"/>
      <color rgb="FF000000"/>
      <name val="Segoe UI Light"/>
      <family val="2"/>
    </font>
    <font>
      <sz val="20"/>
      <color rgb="FF696969"/>
      <name val="Segoe UI Light"/>
      <family val="2"/>
    </font>
    <font>
      <sz val="11"/>
      <color rgb="FF696969"/>
      <name val="Segoe UI Light"/>
      <family val="2"/>
    </font>
    <font>
      <b/>
      <sz val="15"/>
      <color rgb="FFFFFFFF"/>
      <name val="Segoe UI"/>
      <family val="2"/>
    </font>
    <font>
      <sz val="10"/>
      <color rgb="FF000000"/>
      <name val="Segoe UI"/>
      <family val="2"/>
    </font>
    <font>
      <sz val="10"/>
      <color rgb="FF000000"/>
      <name val="Wingdings"/>
      <charset val="2"/>
    </font>
    <font>
      <i/>
      <sz val="11"/>
      <color rgb="FF808080"/>
      <name val="Segoe UI Light"/>
      <family val="2"/>
    </font>
    <font>
      <sz val="11"/>
      <color rgb="FFFF0000"/>
      <name val="Segoe UI Light"/>
      <family val="2"/>
    </font>
    <font>
      <sz val="10"/>
      <color rgb="FF505050"/>
      <name val="Segoe UI"/>
      <family val="2"/>
    </font>
    <font>
      <sz val="11"/>
      <color rgb="FF505050"/>
      <name val="Segoe UI"/>
      <family val="2"/>
    </font>
    <font>
      <sz val="13"/>
      <color rgb="FF505050"/>
      <name val="Segoe UI"/>
      <family val="2"/>
    </font>
    <font>
      <sz val="7"/>
      <color theme="1"/>
      <name val="Times New Roman"/>
      <family val="1"/>
    </font>
    <font>
      <i/>
      <sz val="7"/>
      <color theme="1"/>
      <name val="Times New Roman"/>
      <family val="1"/>
    </font>
    <font>
      <sz val="7"/>
      <color rgb="FF000000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FF0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2ECBFF"/>
        <bgColor indexed="64"/>
      </patternFill>
    </fill>
    <fill>
      <patternFill patternType="solid">
        <fgColor rgb="FFD7F3F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EA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rgb="FFFFFFFF"/>
      </bottom>
      <diagonal/>
    </border>
    <border>
      <left style="hair">
        <color rgb="FFB4B4B4"/>
      </left>
      <right style="hair">
        <color rgb="FFB4B4B4"/>
      </right>
      <top/>
      <bottom/>
      <diagonal/>
    </border>
    <border>
      <left style="hair">
        <color rgb="FFB4B4B4"/>
      </left>
      <right/>
      <top/>
      <bottom/>
      <diagonal/>
    </border>
    <border>
      <left style="hair">
        <color rgb="FFB4B4B4"/>
      </left>
      <right style="hair">
        <color rgb="FFB4B4B4"/>
      </right>
      <top style="hair">
        <color rgb="FFB4B4B4"/>
      </top>
      <bottom/>
      <diagonal/>
    </border>
    <border>
      <left/>
      <right/>
      <top style="hair">
        <color rgb="FFB4B4B4"/>
      </top>
      <bottom/>
      <diagonal/>
    </border>
    <border>
      <left style="hair">
        <color rgb="FFB4B4B4"/>
      </left>
      <right/>
      <top style="hair">
        <color rgb="FFB4B4B4"/>
      </top>
      <bottom/>
      <diagonal/>
    </border>
    <border>
      <left/>
      <right/>
      <top style="hair">
        <color rgb="FFB4B4B4"/>
      </top>
      <bottom style="thick">
        <color rgb="FFFFFFFF"/>
      </bottom>
      <diagonal/>
    </border>
    <border>
      <left style="hair">
        <color rgb="FFB4B4B4"/>
      </left>
      <right style="hair">
        <color rgb="FFB4B4B4"/>
      </right>
      <top style="hair">
        <color rgb="FFB4B4B4"/>
      </top>
      <bottom style="thick">
        <color rgb="FFFFFFFF"/>
      </bottom>
      <diagonal/>
    </border>
    <border>
      <left style="hair">
        <color rgb="FFB4B4B4"/>
      </left>
      <right/>
      <top style="hair">
        <color rgb="FFB4B4B4"/>
      </top>
      <bottom style="thick">
        <color rgb="FFFFFFFF"/>
      </bottom>
      <diagonal/>
    </border>
    <border>
      <left style="hair">
        <color rgb="FFCECECE"/>
      </left>
      <right style="hair">
        <color rgb="FFCECECE"/>
      </right>
      <top style="hair">
        <color rgb="FFCECECE"/>
      </top>
      <bottom style="hair">
        <color rgb="FFCECECE"/>
      </bottom>
      <diagonal/>
    </border>
    <border>
      <left/>
      <right style="thick">
        <color rgb="FF0FC3FF"/>
      </right>
      <top/>
      <bottom/>
      <diagonal/>
    </border>
    <border>
      <left style="thick">
        <color rgb="FF0FC3FF"/>
      </left>
      <right style="thick">
        <color rgb="FF0FC3FF"/>
      </right>
      <top/>
      <bottom/>
      <diagonal/>
    </border>
    <border>
      <left style="thin">
        <color rgb="FF0FC3FF"/>
      </left>
      <right style="thin">
        <color rgb="FF0FC3FF"/>
      </right>
      <top/>
      <bottom style="thin">
        <color rgb="FF0FC3FF"/>
      </bottom>
      <diagonal/>
    </border>
    <border>
      <left style="hair">
        <color rgb="FFFFF2CC"/>
      </left>
      <right style="hair">
        <color rgb="FFFFF2CC"/>
      </right>
      <top/>
      <bottom style="hair">
        <color rgb="FFFFF2CC"/>
      </bottom>
      <diagonal/>
    </border>
    <border>
      <left/>
      <right/>
      <top style="hair">
        <color rgb="FFFFF2CC"/>
      </top>
      <bottom/>
      <diagonal/>
    </border>
    <border>
      <left style="hair">
        <color rgb="FFBFBFBF"/>
      </left>
      <right style="hair">
        <color rgb="FFBFBFBF"/>
      </right>
      <top/>
      <bottom style="hair">
        <color rgb="FFBFBFBF"/>
      </bottom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  <border>
      <left/>
      <right style="hair">
        <color rgb="FFBFBFBF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0" fillId="2" borderId="0" xfId="0" applyFill="1" applyProtection="1">
      <protection locked="0"/>
    </xf>
    <xf numFmtId="0" fontId="9" fillId="5" borderId="0" xfId="0" applyFont="1" applyFill="1" applyAlignment="1" applyProtection="1">
      <alignment horizontal="left" vertical="center" indent="1"/>
      <protection locked="0"/>
    </xf>
    <xf numFmtId="0" fontId="10" fillId="6" borderId="2" xfId="0" applyFont="1" applyFill="1" applyBorder="1" applyAlignment="1" applyProtection="1">
      <alignment horizontal="left" vertical="center" indent="1"/>
      <protection locked="0"/>
    </xf>
    <xf numFmtId="0" fontId="5" fillId="6" borderId="3" xfId="0" applyFont="1" applyFill="1" applyBorder="1" applyAlignment="1" applyProtection="1">
      <alignment horizontal="left" vertical="center" indent="1"/>
      <protection locked="0"/>
    </xf>
    <xf numFmtId="0" fontId="10" fillId="6" borderId="4" xfId="0" applyFont="1" applyFill="1" applyBorder="1" applyAlignment="1" applyProtection="1">
      <alignment horizontal="left" vertical="center" indent="1"/>
      <protection locked="0"/>
    </xf>
    <xf numFmtId="0" fontId="5" fillId="6" borderId="5" xfId="0" applyFont="1" applyFill="1" applyBorder="1" applyAlignment="1" applyProtection="1">
      <alignment horizontal="left" vertical="center" indent="1"/>
      <protection locked="0"/>
    </xf>
    <xf numFmtId="0" fontId="5" fillId="6" borderId="6" xfId="0" applyFont="1" applyFill="1" applyBorder="1" applyAlignment="1" applyProtection="1">
      <alignment horizontal="left" vertical="center" indent="1"/>
      <protection locked="0"/>
    </xf>
    <xf numFmtId="0" fontId="5" fillId="6" borderId="7" xfId="0" applyFont="1" applyFill="1" applyBorder="1" applyAlignment="1" applyProtection="1">
      <alignment horizontal="left" vertical="center" indent="1"/>
      <protection locked="0"/>
    </xf>
    <xf numFmtId="0" fontId="5" fillId="6" borderId="9" xfId="0" applyFont="1" applyFill="1" applyBorder="1" applyAlignment="1" applyProtection="1">
      <alignment horizontal="left" vertical="center" indent="1"/>
      <protection locked="0"/>
    </xf>
    <xf numFmtId="0" fontId="10" fillId="6" borderId="8" xfId="0" applyFont="1" applyFill="1" applyBorder="1" applyAlignment="1" applyProtection="1">
      <alignment horizontal="left" vertical="center" indent="1"/>
      <protection locked="0"/>
    </xf>
    <xf numFmtId="0" fontId="0" fillId="7" borderId="0" xfId="0" applyFill="1" applyProtection="1">
      <protection locked="0"/>
    </xf>
    <xf numFmtId="0" fontId="11" fillId="7" borderId="0" xfId="0" applyFont="1" applyFill="1" applyAlignment="1" applyProtection="1">
      <alignment horizontal="left" vertical="center" indent="1"/>
      <protection locked="0"/>
    </xf>
    <xf numFmtId="0" fontId="5" fillId="2" borderId="10" xfId="0" applyFont="1" applyFill="1" applyBorder="1" applyAlignment="1" applyProtection="1">
      <alignment horizontal="left" vertical="center" indent="1"/>
      <protection locked="0"/>
    </xf>
    <xf numFmtId="0" fontId="14" fillId="9" borderId="13" xfId="0" applyFont="1" applyFill="1" applyBorder="1" applyAlignment="1" applyProtection="1">
      <alignment horizontal="right" vertical="center" indent="1"/>
      <protection locked="0"/>
    </xf>
    <xf numFmtId="0" fontId="9" fillId="10" borderId="0" xfId="0" applyFont="1" applyFill="1" applyAlignment="1">
      <alignment horizontal="center" vertical="center"/>
    </xf>
    <xf numFmtId="0" fontId="14" fillId="11" borderId="14" xfId="0" applyFont="1" applyFill="1" applyBorder="1" applyAlignment="1" applyProtection="1">
      <alignment horizontal="right" vertical="center" indent="1"/>
      <protection locked="0"/>
    </xf>
    <xf numFmtId="164" fontId="14" fillId="11" borderId="14" xfId="0" applyNumberFormat="1" applyFont="1" applyFill="1" applyBorder="1" applyAlignment="1" applyProtection="1">
      <alignment horizontal="left" vertical="center" indent="1"/>
      <protection locked="0"/>
    </xf>
    <xf numFmtId="0" fontId="14" fillId="12" borderId="16" xfId="0" applyFont="1" applyFill="1" applyBorder="1" applyAlignment="1" applyProtection="1">
      <alignment horizontal="right" vertical="center" indent="1"/>
      <protection locked="0"/>
    </xf>
    <xf numFmtId="0" fontId="14" fillId="12" borderId="17" xfId="0" applyFont="1" applyFill="1" applyBorder="1" applyAlignment="1" applyProtection="1">
      <alignment horizontal="right" vertical="center" indent="1"/>
      <protection locked="0"/>
    </xf>
    <xf numFmtId="164" fontId="14" fillId="12" borderId="16" xfId="0" applyNumberFormat="1" applyFont="1" applyFill="1" applyBorder="1" applyAlignment="1" applyProtection="1">
      <alignment horizontal="left" vertical="center" indent="1"/>
      <protection locked="0"/>
    </xf>
    <xf numFmtId="164" fontId="14" fillId="12" borderId="17" xfId="0" applyNumberFormat="1" applyFont="1" applyFill="1" applyBorder="1" applyAlignment="1" applyProtection="1">
      <alignment horizontal="left" vertical="center" indent="1"/>
      <protection locked="0"/>
    </xf>
    <xf numFmtId="164" fontId="14" fillId="13" borderId="17" xfId="0" applyNumberFormat="1" applyFont="1" applyFill="1" applyBorder="1" applyAlignment="1" applyProtection="1">
      <alignment horizontal="left" vertical="center" indent="1"/>
      <protection locked="0"/>
    </xf>
    <xf numFmtId="0" fontId="14" fillId="13" borderId="17" xfId="0" applyFont="1" applyFill="1" applyBorder="1" applyAlignment="1" applyProtection="1">
      <alignment horizontal="right" vertical="center" indent="1"/>
      <protection locked="0"/>
    </xf>
    <xf numFmtId="0" fontId="14" fillId="12" borderId="17" xfId="0" quotePrefix="1" applyFont="1" applyFill="1" applyBorder="1" applyAlignment="1" applyProtection="1">
      <alignment horizontal="right" vertical="center" indent="1"/>
      <protection locked="0"/>
    </xf>
    <xf numFmtId="0" fontId="14" fillId="14" borderId="17" xfId="0" applyFont="1" applyFill="1" applyBorder="1" applyAlignment="1" applyProtection="1">
      <alignment horizontal="right" vertical="center" indent="1"/>
      <protection locked="0"/>
    </xf>
    <xf numFmtId="0" fontId="3" fillId="2" borderId="0" xfId="0" applyFont="1" applyFill="1" applyAlignment="1">
      <alignment horizontal="left"/>
    </xf>
    <xf numFmtId="0" fontId="5" fillId="3" borderId="0" xfId="0" applyFont="1" applyFill="1" applyAlignment="1">
      <alignment horizontal="left" vertical="center" indent="1"/>
    </xf>
    <xf numFmtId="0" fontId="5" fillId="6" borderId="0" xfId="0" applyFont="1" applyFill="1" applyAlignment="1" applyProtection="1">
      <alignment horizontal="left" vertical="center" indent="1"/>
      <protection locked="0"/>
    </xf>
    <xf numFmtId="0" fontId="4" fillId="7" borderId="0" xfId="0" applyFont="1" applyFill="1" applyAlignment="1">
      <alignment horizontal="left" vertical="center" indent="1"/>
    </xf>
    <xf numFmtId="0" fontId="13" fillId="8" borderId="11" xfId="0" applyFont="1" applyFill="1" applyBorder="1" applyAlignment="1">
      <alignment horizontal="center" vertical="center"/>
    </xf>
    <xf numFmtId="0" fontId="13" fillId="8" borderId="12" xfId="0" applyFont="1" applyFill="1" applyBorder="1" applyAlignment="1">
      <alignment horizontal="center" vertical="center"/>
    </xf>
    <xf numFmtId="0" fontId="14" fillId="13" borderId="17" xfId="0" quotePrefix="1" applyFont="1" applyFill="1" applyBorder="1" applyAlignment="1" applyProtection="1">
      <alignment horizontal="right" vertical="center" indent="1"/>
      <protection locked="0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0" fontId="6" fillId="2" borderId="0" xfId="0" applyFont="1" applyFill="1" applyAlignment="1">
      <alignment horizontal="left" indent="1"/>
    </xf>
    <xf numFmtId="0" fontId="7" fillId="2" borderId="0" xfId="0" applyFont="1" applyFill="1" applyAlignment="1">
      <alignment horizontal="left" vertical="top" wrapText="1" indent="1"/>
    </xf>
    <xf numFmtId="0" fontId="15" fillId="2" borderId="0" xfId="0" applyFont="1" applyFill="1" applyAlignment="1">
      <alignment horizontal="left" indent="1"/>
    </xf>
    <xf numFmtId="0" fontId="15" fillId="2" borderId="15" xfId="0" applyFont="1" applyFill="1" applyBorder="1" applyAlignment="1">
      <alignment horizontal="left" indent="1"/>
    </xf>
    <xf numFmtId="0" fontId="6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 indent="1"/>
    </xf>
    <xf numFmtId="0" fontId="6" fillId="7" borderId="0" xfId="0" applyFont="1" applyFill="1" applyAlignment="1" applyProtection="1">
      <alignment horizontal="left" indent="1"/>
      <protection locked="0"/>
    </xf>
    <xf numFmtId="0" fontId="7" fillId="7" borderId="0" xfId="0" applyFont="1" applyFill="1" applyAlignment="1" applyProtection="1">
      <alignment horizontal="left" vertical="top" wrapText="1" indent="1"/>
      <protection locked="0"/>
    </xf>
    <xf numFmtId="0" fontId="12" fillId="7" borderId="0" xfId="0" applyFont="1" applyFill="1" applyAlignment="1" applyProtection="1">
      <alignment horizontal="left" vertical="center" wrapText="1" indent="1"/>
      <protection locked="0"/>
    </xf>
    <xf numFmtId="0" fontId="4" fillId="2" borderId="0" xfId="0" applyFont="1" applyFill="1" applyAlignment="1">
      <alignment horizontal="left"/>
    </xf>
    <xf numFmtId="0" fontId="5" fillId="3" borderId="0" xfId="0" applyFont="1" applyFill="1" applyAlignment="1">
      <alignment horizontal="left" vertical="center" indent="1"/>
    </xf>
    <xf numFmtId="0" fontId="6" fillId="2" borderId="0" xfId="0" applyFont="1" applyFill="1" applyAlignment="1" applyProtection="1">
      <alignment horizontal="left" indent="1"/>
      <protection locked="0"/>
    </xf>
    <xf numFmtId="0" fontId="7" fillId="2" borderId="0" xfId="0" applyFont="1" applyFill="1" applyAlignment="1" applyProtection="1">
      <alignment horizontal="left" vertical="top" wrapText="1" indent="1"/>
      <protection locked="0"/>
    </xf>
    <xf numFmtId="0" fontId="8" fillId="4" borderId="0" xfId="0" applyFont="1" applyFill="1" applyAlignment="1" applyProtection="1">
      <alignment horizontal="left" vertical="center" indent="1"/>
      <protection locked="0"/>
    </xf>
    <xf numFmtId="0" fontId="8" fillId="4" borderId="1" xfId="0" applyFont="1" applyFill="1" applyBorder="1" applyAlignment="1" applyProtection="1">
      <alignment horizontal="left" vertical="center" indent="1"/>
      <protection locked="0"/>
    </xf>
    <xf numFmtId="0" fontId="2" fillId="2" borderId="0" xfId="0" applyFont="1" applyFill="1" applyAlignment="1" applyProtection="1">
      <alignment horizontal="left" indent="1"/>
      <protection locked="0"/>
    </xf>
    <xf numFmtId="0" fontId="16" fillId="0" borderId="19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8" fillId="15" borderId="22" xfId="0" applyFont="1" applyFill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justify" vertical="center" wrapText="1"/>
    </xf>
    <xf numFmtId="0" fontId="16" fillId="0" borderId="26" xfId="0" applyFont="1" applyBorder="1" applyAlignment="1">
      <alignment horizontal="justify" vertical="center" wrapText="1"/>
    </xf>
    <xf numFmtId="0" fontId="16" fillId="0" borderId="23" xfId="0" applyFont="1" applyBorder="1" applyAlignment="1">
      <alignment horizontal="justify" vertical="center" wrapText="1"/>
    </xf>
    <xf numFmtId="3" fontId="18" fillId="15" borderId="25" xfId="0" applyNumberFormat="1" applyFont="1" applyFill="1" applyBorder="1" applyAlignment="1">
      <alignment horizontal="center" vertical="center" wrapText="1"/>
    </xf>
    <xf numFmtId="3" fontId="18" fillId="15" borderId="26" xfId="0" applyNumberFormat="1" applyFont="1" applyFill="1" applyBorder="1" applyAlignment="1">
      <alignment horizontal="center" vertical="center" wrapText="1"/>
    </xf>
    <xf numFmtId="3" fontId="18" fillId="15" borderId="23" xfId="0" applyNumberFormat="1" applyFont="1" applyFill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8" fillId="15" borderId="25" xfId="0" applyFont="1" applyFill="1" applyBorder="1" applyAlignment="1">
      <alignment horizontal="center" vertical="center" wrapText="1"/>
    </xf>
    <xf numFmtId="0" fontId="18" fillId="15" borderId="26" xfId="0" applyFont="1" applyFill="1" applyBorder="1" applyAlignment="1">
      <alignment horizontal="center" vertical="center" wrapText="1"/>
    </xf>
    <xf numFmtId="0" fontId="18" fillId="15" borderId="23" xfId="0" applyFont="1" applyFill="1" applyBorder="1" applyAlignment="1">
      <alignment horizontal="center" vertical="center" wrapText="1"/>
    </xf>
  </cellXfs>
  <cellStyles count="1">
    <cellStyle name="Normal" xfId="0" builtinId="0"/>
  </cellStyles>
  <dxfs count="26"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numFmt numFmtId="164" formatCode="h:mm:ss.00"/>
      <fill>
        <patternFill patternType="solid">
          <fgColor indexed="64"/>
          <bgColor rgb="FFFCFCFC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protection locked="0" hidden="0"/>
    </dxf>
    <dxf>
      <fill>
        <patternFill patternType="solid">
          <fgColor indexed="64"/>
          <bgColor rgb="FFFFFFFF"/>
        </patternFill>
      </fill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numFmt numFmtId="164" formatCode="h:mm:ss.00"/>
      <fill>
        <patternFill patternType="solid">
          <fgColor indexed="64"/>
          <bgColor rgb="FFFFFFEA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protection locked="0" hidden="0"/>
    </dxf>
    <dxf>
      <fill>
        <patternFill patternType="solid">
          <fgColor indexed="64"/>
          <bgColor rgb="FFFFFFFF"/>
        </patternFill>
      </fill>
    </dxf>
  </dxfs>
  <tableStyles count="1" defaultTableStyle="TableStyleMedium2" defaultPivotStyle="PivotStyleLight16">
    <tableStyle name="Invisible" pivot="0" table="0" count="0" xr9:uid="{74AA0FB4-9E86-42A0-AB87-AA9601860A9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ta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Sheet1!$A$2:$A$1001</c:f>
              <c:numCache>
                <c:formatCode>General</c:formatCode>
                <c:ptCount val="1000"/>
                <c:pt idx="0">
                  <c:v>0.2</c:v>
                </c:pt>
                <c:pt idx="1">
                  <c:v>0.3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0.8</c:v>
                </c:pt>
                <c:pt idx="7">
                  <c:v>0.9</c:v>
                </c:pt>
                <c:pt idx="8">
                  <c:v>1</c:v>
                </c:pt>
                <c:pt idx="9">
                  <c:v>1.1000000000000001</c:v>
                </c:pt>
                <c:pt idx="10">
                  <c:v>1.2</c:v>
                </c:pt>
                <c:pt idx="11">
                  <c:v>1.3</c:v>
                </c:pt>
                <c:pt idx="12">
                  <c:v>1.4</c:v>
                </c:pt>
                <c:pt idx="13">
                  <c:v>1.5</c:v>
                </c:pt>
                <c:pt idx="14">
                  <c:v>1.6</c:v>
                </c:pt>
                <c:pt idx="15">
                  <c:v>1.7</c:v>
                </c:pt>
                <c:pt idx="16">
                  <c:v>1.8</c:v>
                </c:pt>
                <c:pt idx="17">
                  <c:v>1.9</c:v>
                </c:pt>
                <c:pt idx="18">
                  <c:v>2</c:v>
                </c:pt>
                <c:pt idx="19">
                  <c:v>2.1</c:v>
                </c:pt>
                <c:pt idx="20">
                  <c:v>2.2000000000000002</c:v>
                </c:pt>
                <c:pt idx="21">
                  <c:v>2.2999999999999998</c:v>
                </c:pt>
                <c:pt idx="22">
                  <c:v>2.4</c:v>
                </c:pt>
                <c:pt idx="23">
                  <c:v>2.5</c:v>
                </c:pt>
                <c:pt idx="24">
                  <c:v>2.6</c:v>
                </c:pt>
                <c:pt idx="25">
                  <c:v>2.7</c:v>
                </c:pt>
                <c:pt idx="26">
                  <c:v>2.8</c:v>
                </c:pt>
                <c:pt idx="27">
                  <c:v>2.9</c:v>
                </c:pt>
                <c:pt idx="28">
                  <c:v>3</c:v>
                </c:pt>
                <c:pt idx="29">
                  <c:v>3.1</c:v>
                </c:pt>
                <c:pt idx="30">
                  <c:v>3.2</c:v>
                </c:pt>
                <c:pt idx="31">
                  <c:v>3.3</c:v>
                </c:pt>
                <c:pt idx="32">
                  <c:v>3.4</c:v>
                </c:pt>
                <c:pt idx="33">
                  <c:v>3.5</c:v>
                </c:pt>
                <c:pt idx="34">
                  <c:v>3.6</c:v>
                </c:pt>
                <c:pt idx="35">
                  <c:v>3.7</c:v>
                </c:pt>
                <c:pt idx="36">
                  <c:v>3.8</c:v>
                </c:pt>
                <c:pt idx="37">
                  <c:v>3.9</c:v>
                </c:pt>
                <c:pt idx="38">
                  <c:v>4</c:v>
                </c:pt>
                <c:pt idx="39">
                  <c:v>4.0999999999999996</c:v>
                </c:pt>
                <c:pt idx="40">
                  <c:v>4.2</c:v>
                </c:pt>
                <c:pt idx="41">
                  <c:v>4.3</c:v>
                </c:pt>
                <c:pt idx="42">
                  <c:v>4.4000000000000004</c:v>
                </c:pt>
                <c:pt idx="43">
                  <c:v>4.5</c:v>
                </c:pt>
                <c:pt idx="44">
                  <c:v>4.5999999999999996</c:v>
                </c:pt>
                <c:pt idx="45">
                  <c:v>4.7</c:v>
                </c:pt>
                <c:pt idx="46">
                  <c:v>4.8</c:v>
                </c:pt>
                <c:pt idx="47">
                  <c:v>4.9000000000000004</c:v>
                </c:pt>
                <c:pt idx="48">
                  <c:v>5</c:v>
                </c:pt>
                <c:pt idx="49">
                  <c:v>5.0999999999999996</c:v>
                </c:pt>
                <c:pt idx="50">
                  <c:v>5.2</c:v>
                </c:pt>
                <c:pt idx="51">
                  <c:v>5.3</c:v>
                </c:pt>
                <c:pt idx="52">
                  <c:v>5.4</c:v>
                </c:pt>
                <c:pt idx="53">
                  <c:v>5.5</c:v>
                </c:pt>
                <c:pt idx="54">
                  <c:v>5.6</c:v>
                </c:pt>
                <c:pt idx="55">
                  <c:v>5.7</c:v>
                </c:pt>
                <c:pt idx="56">
                  <c:v>5.8</c:v>
                </c:pt>
                <c:pt idx="57">
                  <c:v>5.9</c:v>
                </c:pt>
                <c:pt idx="58">
                  <c:v>6</c:v>
                </c:pt>
                <c:pt idx="59">
                  <c:v>6.1</c:v>
                </c:pt>
                <c:pt idx="60">
                  <c:v>6.2</c:v>
                </c:pt>
                <c:pt idx="61">
                  <c:v>6.3</c:v>
                </c:pt>
                <c:pt idx="62">
                  <c:v>6.4</c:v>
                </c:pt>
                <c:pt idx="63">
                  <c:v>6.5</c:v>
                </c:pt>
                <c:pt idx="64">
                  <c:v>6.6</c:v>
                </c:pt>
                <c:pt idx="65">
                  <c:v>6.7</c:v>
                </c:pt>
                <c:pt idx="66">
                  <c:v>6.8</c:v>
                </c:pt>
                <c:pt idx="67">
                  <c:v>6.9</c:v>
                </c:pt>
                <c:pt idx="68">
                  <c:v>7</c:v>
                </c:pt>
                <c:pt idx="69">
                  <c:v>7.1</c:v>
                </c:pt>
                <c:pt idx="70">
                  <c:v>7.2</c:v>
                </c:pt>
                <c:pt idx="71">
                  <c:v>7.3</c:v>
                </c:pt>
                <c:pt idx="72">
                  <c:v>7.4</c:v>
                </c:pt>
                <c:pt idx="73">
                  <c:v>7.5</c:v>
                </c:pt>
                <c:pt idx="74">
                  <c:v>7.6</c:v>
                </c:pt>
                <c:pt idx="75">
                  <c:v>7.7</c:v>
                </c:pt>
                <c:pt idx="76">
                  <c:v>7.8</c:v>
                </c:pt>
                <c:pt idx="77">
                  <c:v>7.9</c:v>
                </c:pt>
                <c:pt idx="78">
                  <c:v>8</c:v>
                </c:pt>
                <c:pt idx="79">
                  <c:v>8.1</c:v>
                </c:pt>
                <c:pt idx="80">
                  <c:v>8.1999999999999993</c:v>
                </c:pt>
                <c:pt idx="81">
                  <c:v>8.3000000000000007</c:v>
                </c:pt>
                <c:pt idx="82">
                  <c:v>8.4</c:v>
                </c:pt>
                <c:pt idx="83">
                  <c:v>8.5</c:v>
                </c:pt>
                <c:pt idx="84">
                  <c:v>8.6</c:v>
                </c:pt>
                <c:pt idx="85">
                  <c:v>8.6999999999999993</c:v>
                </c:pt>
                <c:pt idx="86">
                  <c:v>8.8000000000000007</c:v>
                </c:pt>
                <c:pt idx="87">
                  <c:v>8.9</c:v>
                </c:pt>
                <c:pt idx="88">
                  <c:v>9</c:v>
                </c:pt>
                <c:pt idx="89">
                  <c:v>9.1</c:v>
                </c:pt>
                <c:pt idx="90">
                  <c:v>9.1999999999999993</c:v>
                </c:pt>
                <c:pt idx="91">
                  <c:v>9.3000000000000007</c:v>
                </c:pt>
                <c:pt idx="92">
                  <c:v>9.4</c:v>
                </c:pt>
                <c:pt idx="93">
                  <c:v>9.5</c:v>
                </c:pt>
                <c:pt idx="94">
                  <c:v>9.6</c:v>
                </c:pt>
                <c:pt idx="95">
                  <c:v>9.6999999999999993</c:v>
                </c:pt>
                <c:pt idx="96">
                  <c:v>9.8000000000000007</c:v>
                </c:pt>
                <c:pt idx="97">
                  <c:v>9.9</c:v>
                </c:pt>
                <c:pt idx="98">
                  <c:v>10</c:v>
                </c:pt>
                <c:pt idx="99">
                  <c:v>10.1</c:v>
                </c:pt>
                <c:pt idx="100">
                  <c:v>10.199999999999999</c:v>
                </c:pt>
                <c:pt idx="101">
                  <c:v>10.3</c:v>
                </c:pt>
                <c:pt idx="102">
                  <c:v>10.4</c:v>
                </c:pt>
                <c:pt idx="103">
                  <c:v>10.5</c:v>
                </c:pt>
                <c:pt idx="104">
                  <c:v>10.6</c:v>
                </c:pt>
                <c:pt idx="105">
                  <c:v>10.7</c:v>
                </c:pt>
                <c:pt idx="106">
                  <c:v>10.8</c:v>
                </c:pt>
                <c:pt idx="107">
                  <c:v>10.9</c:v>
                </c:pt>
                <c:pt idx="108">
                  <c:v>11</c:v>
                </c:pt>
                <c:pt idx="109">
                  <c:v>11.1</c:v>
                </c:pt>
                <c:pt idx="110">
                  <c:v>11.2</c:v>
                </c:pt>
                <c:pt idx="111">
                  <c:v>11.3</c:v>
                </c:pt>
                <c:pt idx="112">
                  <c:v>11.4</c:v>
                </c:pt>
                <c:pt idx="113">
                  <c:v>11.5</c:v>
                </c:pt>
                <c:pt idx="114">
                  <c:v>11.6</c:v>
                </c:pt>
                <c:pt idx="115">
                  <c:v>11.7</c:v>
                </c:pt>
                <c:pt idx="116">
                  <c:v>11.8</c:v>
                </c:pt>
                <c:pt idx="117">
                  <c:v>11.9</c:v>
                </c:pt>
                <c:pt idx="118">
                  <c:v>12</c:v>
                </c:pt>
                <c:pt idx="119">
                  <c:v>12.1</c:v>
                </c:pt>
                <c:pt idx="120">
                  <c:v>12.2</c:v>
                </c:pt>
                <c:pt idx="121">
                  <c:v>12.3</c:v>
                </c:pt>
                <c:pt idx="122">
                  <c:v>12.4</c:v>
                </c:pt>
                <c:pt idx="123">
                  <c:v>12.5</c:v>
                </c:pt>
                <c:pt idx="124">
                  <c:v>12.6</c:v>
                </c:pt>
                <c:pt idx="125">
                  <c:v>12.7</c:v>
                </c:pt>
                <c:pt idx="126">
                  <c:v>12.8</c:v>
                </c:pt>
                <c:pt idx="127">
                  <c:v>12.9</c:v>
                </c:pt>
                <c:pt idx="128">
                  <c:v>13</c:v>
                </c:pt>
                <c:pt idx="129">
                  <c:v>13.1</c:v>
                </c:pt>
                <c:pt idx="130">
                  <c:v>13.2</c:v>
                </c:pt>
                <c:pt idx="131">
                  <c:v>13.3</c:v>
                </c:pt>
                <c:pt idx="132">
                  <c:v>13.4</c:v>
                </c:pt>
                <c:pt idx="133">
                  <c:v>13.5</c:v>
                </c:pt>
                <c:pt idx="134">
                  <c:v>13.6</c:v>
                </c:pt>
                <c:pt idx="135">
                  <c:v>13.7</c:v>
                </c:pt>
                <c:pt idx="136">
                  <c:v>13.8</c:v>
                </c:pt>
                <c:pt idx="137">
                  <c:v>13.9</c:v>
                </c:pt>
                <c:pt idx="138">
                  <c:v>14</c:v>
                </c:pt>
                <c:pt idx="139">
                  <c:v>14.1</c:v>
                </c:pt>
                <c:pt idx="140">
                  <c:v>14.2</c:v>
                </c:pt>
                <c:pt idx="141">
                  <c:v>14.3</c:v>
                </c:pt>
                <c:pt idx="142">
                  <c:v>14.4</c:v>
                </c:pt>
                <c:pt idx="143">
                  <c:v>14.5</c:v>
                </c:pt>
                <c:pt idx="144">
                  <c:v>14.6</c:v>
                </c:pt>
                <c:pt idx="145">
                  <c:v>14.7</c:v>
                </c:pt>
                <c:pt idx="146">
                  <c:v>14.8</c:v>
                </c:pt>
                <c:pt idx="147">
                  <c:v>14.9</c:v>
                </c:pt>
                <c:pt idx="148">
                  <c:v>15</c:v>
                </c:pt>
                <c:pt idx="149">
                  <c:v>15.1</c:v>
                </c:pt>
                <c:pt idx="150">
                  <c:v>15.2</c:v>
                </c:pt>
                <c:pt idx="151">
                  <c:v>15.3</c:v>
                </c:pt>
                <c:pt idx="152">
                  <c:v>15.4</c:v>
                </c:pt>
                <c:pt idx="153">
                  <c:v>15.5</c:v>
                </c:pt>
                <c:pt idx="154">
                  <c:v>15.6</c:v>
                </c:pt>
                <c:pt idx="155">
                  <c:v>15.7</c:v>
                </c:pt>
                <c:pt idx="156">
                  <c:v>15.8</c:v>
                </c:pt>
                <c:pt idx="157">
                  <c:v>15.9</c:v>
                </c:pt>
                <c:pt idx="158">
                  <c:v>16</c:v>
                </c:pt>
                <c:pt idx="159">
                  <c:v>16.100000000000001</c:v>
                </c:pt>
                <c:pt idx="160">
                  <c:v>16.2</c:v>
                </c:pt>
                <c:pt idx="161">
                  <c:v>16.3</c:v>
                </c:pt>
                <c:pt idx="162">
                  <c:v>16.399999999999999</c:v>
                </c:pt>
                <c:pt idx="163">
                  <c:v>16.5</c:v>
                </c:pt>
                <c:pt idx="164">
                  <c:v>16.600000000000001</c:v>
                </c:pt>
                <c:pt idx="165">
                  <c:v>16.7</c:v>
                </c:pt>
                <c:pt idx="166">
                  <c:v>16.8</c:v>
                </c:pt>
                <c:pt idx="167">
                  <c:v>16.899999999999999</c:v>
                </c:pt>
                <c:pt idx="168">
                  <c:v>17</c:v>
                </c:pt>
                <c:pt idx="169">
                  <c:v>17.100000000000001</c:v>
                </c:pt>
                <c:pt idx="170">
                  <c:v>17.2</c:v>
                </c:pt>
                <c:pt idx="171">
                  <c:v>17.3</c:v>
                </c:pt>
                <c:pt idx="172">
                  <c:v>17.399999999999999</c:v>
                </c:pt>
                <c:pt idx="173">
                  <c:v>17.5</c:v>
                </c:pt>
                <c:pt idx="174">
                  <c:v>17.600000000000001</c:v>
                </c:pt>
                <c:pt idx="175">
                  <c:v>17.7</c:v>
                </c:pt>
                <c:pt idx="176">
                  <c:v>17.8</c:v>
                </c:pt>
                <c:pt idx="177">
                  <c:v>17.899999999999999</c:v>
                </c:pt>
                <c:pt idx="178">
                  <c:v>18</c:v>
                </c:pt>
                <c:pt idx="179">
                  <c:v>18.100000000000001</c:v>
                </c:pt>
                <c:pt idx="180">
                  <c:v>18.2</c:v>
                </c:pt>
                <c:pt idx="181">
                  <c:v>18.3</c:v>
                </c:pt>
                <c:pt idx="182">
                  <c:v>18.399999999999999</c:v>
                </c:pt>
                <c:pt idx="183">
                  <c:v>18.5</c:v>
                </c:pt>
                <c:pt idx="184">
                  <c:v>18.600000000000001</c:v>
                </c:pt>
                <c:pt idx="185">
                  <c:v>18.7</c:v>
                </c:pt>
                <c:pt idx="186">
                  <c:v>18.8</c:v>
                </c:pt>
                <c:pt idx="187">
                  <c:v>18.899999999999999</c:v>
                </c:pt>
                <c:pt idx="188">
                  <c:v>19</c:v>
                </c:pt>
                <c:pt idx="189">
                  <c:v>19.100000000000001</c:v>
                </c:pt>
                <c:pt idx="190">
                  <c:v>19.2</c:v>
                </c:pt>
                <c:pt idx="191">
                  <c:v>19.3</c:v>
                </c:pt>
                <c:pt idx="192">
                  <c:v>19.399999999999999</c:v>
                </c:pt>
                <c:pt idx="193">
                  <c:v>19.5</c:v>
                </c:pt>
                <c:pt idx="194">
                  <c:v>19.600000000000001</c:v>
                </c:pt>
                <c:pt idx="195">
                  <c:v>19.7</c:v>
                </c:pt>
                <c:pt idx="196">
                  <c:v>19.8</c:v>
                </c:pt>
                <c:pt idx="197">
                  <c:v>19.899999999999999</c:v>
                </c:pt>
                <c:pt idx="198">
                  <c:v>20</c:v>
                </c:pt>
                <c:pt idx="199">
                  <c:v>20.100000000000001</c:v>
                </c:pt>
                <c:pt idx="200">
                  <c:v>20.2</c:v>
                </c:pt>
                <c:pt idx="201">
                  <c:v>20.3</c:v>
                </c:pt>
                <c:pt idx="202">
                  <c:v>20.399999999999999</c:v>
                </c:pt>
                <c:pt idx="203">
                  <c:v>20.5</c:v>
                </c:pt>
                <c:pt idx="204">
                  <c:v>20.6</c:v>
                </c:pt>
                <c:pt idx="205">
                  <c:v>20.7</c:v>
                </c:pt>
                <c:pt idx="206">
                  <c:v>20.8</c:v>
                </c:pt>
                <c:pt idx="207">
                  <c:v>20.9</c:v>
                </c:pt>
                <c:pt idx="208">
                  <c:v>21</c:v>
                </c:pt>
                <c:pt idx="209">
                  <c:v>21.1</c:v>
                </c:pt>
                <c:pt idx="210">
                  <c:v>21.2</c:v>
                </c:pt>
                <c:pt idx="211">
                  <c:v>21.3</c:v>
                </c:pt>
                <c:pt idx="212">
                  <c:v>21.4</c:v>
                </c:pt>
                <c:pt idx="213">
                  <c:v>21.5</c:v>
                </c:pt>
                <c:pt idx="214">
                  <c:v>21.6</c:v>
                </c:pt>
                <c:pt idx="215">
                  <c:v>21.7</c:v>
                </c:pt>
                <c:pt idx="216">
                  <c:v>21.8</c:v>
                </c:pt>
                <c:pt idx="217">
                  <c:v>21.9</c:v>
                </c:pt>
                <c:pt idx="218">
                  <c:v>22</c:v>
                </c:pt>
                <c:pt idx="219">
                  <c:v>22.1</c:v>
                </c:pt>
                <c:pt idx="220">
                  <c:v>22.2</c:v>
                </c:pt>
                <c:pt idx="221">
                  <c:v>22.3</c:v>
                </c:pt>
                <c:pt idx="222">
                  <c:v>22.4</c:v>
                </c:pt>
                <c:pt idx="223">
                  <c:v>22.5</c:v>
                </c:pt>
                <c:pt idx="224">
                  <c:v>22.6</c:v>
                </c:pt>
                <c:pt idx="225">
                  <c:v>22.7</c:v>
                </c:pt>
                <c:pt idx="226">
                  <c:v>22.8</c:v>
                </c:pt>
                <c:pt idx="227">
                  <c:v>22.9</c:v>
                </c:pt>
                <c:pt idx="228">
                  <c:v>23</c:v>
                </c:pt>
                <c:pt idx="229">
                  <c:v>23.1</c:v>
                </c:pt>
                <c:pt idx="230">
                  <c:v>23.2</c:v>
                </c:pt>
                <c:pt idx="231">
                  <c:v>23.3</c:v>
                </c:pt>
                <c:pt idx="232">
                  <c:v>23.4</c:v>
                </c:pt>
                <c:pt idx="233">
                  <c:v>23.5</c:v>
                </c:pt>
                <c:pt idx="234">
                  <c:v>23.6</c:v>
                </c:pt>
                <c:pt idx="235">
                  <c:v>23.7</c:v>
                </c:pt>
                <c:pt idx="236">
                  <c:v>23.8</c:v>
                </c:pt>
                <c:pt idx="237">
                  <c:v>23.9</c:v>
                </c:pt>
                <c:pt idx="238">
                  <c:v>24</c:v>
                </c:pt>
                <c:pt idx="239">
                  <c:v>24.1</c:v>
                </c:pt>
                <c:pt idx="240">
                  <c:v>24.2</c:v>
                </c:pt>
                <c:pt idx="241">
                  <c:v>24.3</c:v>
                </c:pt>
                <c:pt idx="242">
                  <c:v>24.4</c:v>
                </c:pt>
                <c:pt idx="243">
                  <c:v>24.5</c:v>
                </c:pt>
                <c:pt idx="244">
                  <c:v>24.6</c:v>
                </c:pt>
                <c:pt idx="245">
                  <c:v>24.7</c:v>
                </c:pt>
                <c:pt idx="246">
                  <c:v>24.8</c:v>
                </c:pt>
                <c:pt idx="247">
                  <c:v>24.9</c:v>
                </c:pt>
                <c:pt idx="248">
                  <c:v>25</c:v>
                </c:pt>
                <c:pt idx="249">
                  <c:v>25.1</c:v>
                </c:pt>
                <c:pt idx="250">
                  <c:v>25.2</c:v>
                </c:pt>
                <c:pt idx="251">
                  <c:v>25.3</c:v>
                </c:pt>
                <c:pt idx="252">
                  <c:v>25.4</c:v>
                </c:pt>
                <c:pt idx="253">
                  <c:v>25.5</c:v>
                </c:pt>
                <c:pt idx="254">
                  <c:v>25.6</c:v>
                </c:pt>
                <c:pt idx="255">
                  <c:v>25.7</c:v>
                </c:pt>
                <c:pt idx="256">
                  <c:v>25.8</c:v>
                </c:pt>
                <c:pt idx="257">
                  <c:v>25.9</c:v>
                </c:pt>
                <c:pt idx="258">
                  <c:v>26</c:v>
                </c:pt>
                <c:pt idx="259">
                  <c:v>26.1</c:v>
                </c:pt>
                <c:pt idx="260">
                  <c:v>26.2</c:v>
                </c:pt>
                <c:pt idx="261">
                  <c:v>26.3</c:v>
                </c:pt>
                <c:pt idx="262">
                  <c:v>26.4</c:v>
                </c:pt>
                <c:pt idx="263">
                  <c:v>26.5</c:v>
                </c:pt>
                <c:pt idx="264">
                  <c:v>26.6</c:v>
                </c:pt>
                <c:pt idx="265">
                  <c:v>26.7</c:v>
                </c:pt>
                <c:pt idx="266">
                  <c:v>26.8</c:v>
                </c:pt>
                <c:pt idx="267">
                  <c:v>26.9</c:v>
                </c:pt>
                <c:pt idx="268">
                  <c:v>27</c:v>
                </c:pt>
                <c:pt idx="269">
                  <c:v>27.1</c:v>
                </c:pt>
                <c:pt idx="270">
                  <c:v>27.2</c:v>
                </c:pt>
                <c:pt idx="271">
                  <c:v>27.3</c:v>
                </c:pt>
                <c:pt idx="272">
                  <c:v>27.4</c:v>
                </c:pt>
                <c:pt idx="273">
                  <c:v>27.5</c:v>
                </c:pt>
                <c:pt idx="274">
                  <c:v>27.6</c:v>
                </c:pt>
                <c:pt idx="275">
                  <c:v>27.7</c:v>
                </c:pt>
                <c:pt idx="276">
                  <c:v>27.8</c:v>
                </c:pt>
                <c:pt idx="277">
                  <c:v>27.9</c:v>
                </c:pt>
                <c:pt idx="278">
                  <c:v>28</c:v>
                </c:pt>
                <c:pt idx="279">
                  <c:v>28.1</c:v>
                </c:pt>
                <c:pt idx="280">
                  <c:v>28.2</c:v>
                </c:pt>
                <c:pt idx="281">
                  <c:v>28.3</c:v>
                </c:pt>
                <c:pt idx="282">
                  <c:v>28.4</c:v>
                </c:pt>
                <c:pt idx="283">
                  <c:v>28.5</c:v>
                </c:pt>
                <c:pt idx="284">
                  <c:v>28.6</c:v>
                </c:pt>
                <c:pt idx="285">
                  <c:v>28.7</c:v>
                </c:pt>
                <c:pt idx="286">
                  <c:v>28.8</c:v>
                </c:pt>
                <c:pt idx="287">
                  <c:v>28.9</c:v>
                </c:pt>
                <c:pt idx="288">
                  <c:v>29</c:v>
                </c:pt>
                <c:pt idx="289">
                  <c:v>29.1</c:v>
                </c:pt>
                <c:pt idx="290">
                  <c:v>29.2</c:v>
                </c:pt>
                <c:pt idx="291">
                  <c:v>29.3</c:v>
                </c:pt>
                <c:pt idx="292">
                  <c:v>29.4</c:v>
                </c:pt>
                <c:pt idx="293">
                  <c:v>29.5</c:v>
                </c:pt>
                <c:pt idx="294">
                  <c:v>29.6</c:v>
                </c:pt>
                <c:pt idx="295">
                  <c:v>29.7</c:v>
                </c:pt>
                <c:pt idx="296">
                  <c:v>29.8</c:v>
                </c:pt>
                <c:pt idx="297">
                  <c:v>29.9</c:v>
                </c:pt>
                <c:pt idx="298">
                  <c:v>30</c:v>
                </c:pt>
                <c:pt idx="299">
                  <c:v>30.1</c:v>
                </c:pt>
                <c:pt idx="300">
                  <c:v>30.2</c:v>
                </c:pt>
                <c:pt idx="301">
                  <c:v>30.3</c:v>
                </c:pt>
                <c:pt idx="302">
                  <c:v>30.4</c:v>
                </c:pt>
                <c:pt idx="303">
                  <c:v>30.5</c:v>
                </c:pt>
                <c:pt idx="304">
                  <c:v>30.6</c:v>
                </c:pt>
                <c:pt idx="305">
                  <c:v>30.7</c:v>
                </c:pt>
                <c:pt idx="306">
                  <c:v>30.8</c:v>
                </c:pt>
                <c:pt idx="307">
                  <c:v>30.9</c:v>
                </c:pt>
                <c:pt idx="308">
                  <c:v>31</c:v>
                </c:pt>
                <c:pt idx="309">
                  <c:v>31.1</c:v>
                </c:pt>
                <c:pt idx="310">
                  <c:v>31.2</c:v>
                </c:pt>
                <c:pt idx="311">
                  <c:v>31.3</c:v>
                </c:pt>
                <c:pt idx="312">
                  <c:v>31.4</c:v>
                </c:pt>
                <c:pt idx="313">
                  <c:v>31.5</c:v>
                </c:pt>
                <c:pt idx="314">
                  <c:v>31.6</c:v>
                </c:pt>
                <c:pt idx="315">
                  <c:v>31.7</c:v>
                </c:pt>
                <c:pt idx="316">
                  <c:v>31.8</c:v>
                </c:pt>
                <c:pt idx="317">
                  <c:v>31.9</c:v>
                </c:pt>
                <c:pt idx="318">
                  <c:v>32</c:v>
                </c:pt>
                <c:pt idx="319">
                  <c:v>32.1</c:v>
                </c:pt>
                <c:pt idx="320">
                  <c:v>32.200000000000003</c:v>
                </c:pt>
                <c:pt idx="321">
                  <c:v>32.299999999999997</c:v>
                </c:pt>
                <c:pt idx="322">
                  <c:v>32.4</c:v>
                </c:pt>
                <c:pt idx="323">
                  <c:v>32.5</c:v>
                </c:pt>
                <c:pt idx="324">
                  <c:v>32.6</c:v>
                </c:pt>
                <c:pt idx="325">
                  <c:v>32.700000000000003</c:v>
                </c:pt>
                <c:pt idx="326">
                  <c:v>32.799999999999997</c:v>
                </c:pt>
                <c:pt idx="327">
                  <c:v>32.9</c:v>
                </c:pt>
                <c:pt idx="328">
                  <c:v>33</c:v>
                </c:pt>
                <c:pt idx="329">
                  <c:v>33.1</c:v>
                </c:pt>
                <c:pt idx="330">
                  <c:v>33.200000000000003</c:v>
                </c:pt>
                <c:pt idx="331">
                  <c:v>33.299999999999997</c:v>
                </c:pt>
                <c:pt idx="332">
                  <c:v>33.4</c:v>
                </c:pt>
                <c:pt idx="333">
                  <c:v>33.5</c:v>
                </c:pt>
                <c:pt idx="334">
                  <c:v>33.6</c:v>
                </c:pt>
                <c:pt idx="335">
                  <c:v>33.700000000000003</c:v>
                </c:pt>
                <c:pt idx="336">
                  <c:v>33.799999999999997</c:v>
                </c:pt>
                <c:pt idx="337">
                  <c:v>33.9</c:v>
                </c:pt>
                <c:pt idx="338">
                  <c:v>34</c:v>
                </c:pt>
                <c:pt idx="339">
                  <c:v>34.1</c:v>
                </c:pt>
                <c:pt idx="340">
                  <c:v>34.200000000000003</c:v>
                </c:pt>
                <c:pt idx="341">
                  <c:v>34.299999999999997</c:v>
                </c:pt>
                <c:pt idx="342">
                  <c:v>34.4</c:v>
                </c:pt>
                <c:pt idx="343">
                  <c:v>34.5</c:v>
                </c:pt>
                <c:pt idx="344">
                  <c:v>34.6</c:v>
                </c:pt>
                <c:pt idx="345">
                  <c:v>34.700000000000003</c:v>
                </c:pt>
                <c:pt idx="346">
                  <c:v>34.799999999999997</c:v>
                </c:pt>
                <c:pt idx="347">
                  <c:v>34.9</c:v>
                </c:pt>
                <c:pt idx="348">
                  <c:v>35</c:v>
                </c:pt>
                <c:pt idx="349">
                  <c:v>35.1</c:v>
                </c:pt>
                <c:pt idx="350">
                  <c:v>35.200000000000003</c:v>
                </c:pt>
                <c:pt idx="351">
                  <c:v>35.299999999999997</c:v>
                </c:pt>
                <c:pt idx="352">
                  <c:v>35.4</c:v>
                </c:pt>
                <c:pt idx="353">
                  <c:v>35.5</c:v>
                </c:pt>
                <c:pt idx="354">
                  <c:v>35.6</c:v>
                </c:pt>
                <c:pt idx="355">
                  <c:v>35.700000000000003</c:v>
                </c:pt>
                <c:pt idx="356">
                  <c:v>35.799999999999997</c:v>
                </c:pt>
                <c:pt idx="357">
                  <c:v>35.9</c:v>
                </c:pt>
                <c:pt idx="358">
                  <c:v>36</c:v>
                </c:pt>
                <c:pt idx="359">
                  <c:v>36.1</c:v>
                </c:pt>
                <c:pt idx="360">
                  <c:v>36.200000000000003</c:v>
                </c:pt>
                <c:pt idx="361">
                  <c:v>36.299999999999997</c:v>
                </c:pt>
                <c:pt idx="362">
                  <c:v>36.4</c:v>
                </c:pt>
                <c:pt idx="363">
                  <c:v>36.5</c:v>
                </c:pt>
                <c:pt idx="364">
                  <c:v>36.6</c:v>
                </c:pt>
                <c:pt idx="365">
                  <c:v>36.700000000000003</c:v>
                </c:pt>
                <c:pt idx="366">
                  <c:v>36.799999999999997</c:v>
                </c:pt>
                <c:pt idx="367">
                  <c:v>36.9</c:v>
                </c:pt>
                <c:pt idx="368">
                  <c:v>37</c:v>
                </c:pt>
                <c:pt idx="369">
                  <c:v>37.1</c:v>
                </c:pt>
                <c:pt idx="370">
                  <c:v>37.200000000000003</c:v>
                </c:pt>
                <c:pt idx="371">
                  <c:v>37.299999999999997</c:v>
                </c:pt>
                <c:pt idx="372">
                  <c:v>37.4</c:v>
                </c:pt>
                <c:pt idx="373">
                  <c:v>37.5</c:v>
                </c:pt>
                <c:pt idx="374">
                  <c:v>37.6</c:v>
                </c:pt>
                <c:pt idx="375">
                  <c:v>37.700000000000003</c:v>
                </c:pt>
                <c:pt idx="376">
                  <c:v>37.799999999999997</c:v>
                </c:pt>
                <c:pt idx="377">
                  <c:v>37.9</c:v>
                </c:pt>
                <c:pt idx="378">
                  <c:v>38</c:v>
                </c:pt>
                <c:pt idx="379">
                  <c:v>38.1</c:v>
                </c:pt>
                <c:pt idx="380">
                  <c:v>38.200000000000003</c:v>
                </c:pt>
                <c:pt idx="381">
                  <c:v>38.299999999999997</c:v>
                </c:pt>
                <c:pt idx="382">
                  <c:v>38.4</c:v>
                </c:pt>
                <c:pt idx="383">
                  <c:v>38.5</c:v>
                </c:pt>
                <c:pt idx="384">
                  <c:v>38.6</c:v>
                </c:pt>
                <c:pt idx="385">
                  <c:v>38.700000000000003</c:v>
                </c:pt>
                <c:pt idx="386">
                  <c:v>38.799999999999997</c:v>
                </c:pt>
                <c:pt idx="387">
                  <c:v>38.9</c:v>
                </c:pt>
                <c:pt idx="388">
                  <c:v>39</c:v>
                </c:pt>
                <c:pt idx="389">
                  <c:v>39.1</c:v>
                </c:pt>
                <c:pt idx="390">
                  <c:v>39.200000000000003</c:v>
                </c:pt>
                <c:pt idx="391">
                  <c:v>39.299999999999997</c:v>
                </c:pt>
                <c:pt idx="392">
                  <c:v>39.4</c:v>
                </c:pt>
                <c:pt idx="393">
                  <c:v>39.5</c:v>
                </c:pt>
                <c:pt idx="394">
                  <c:v>39.6</c:v>
                </c:pt>
                <c:pt idx="395">
                  <c:v>39.700000000000003</c:v>
                </c:pt>
                <c:pt idx="396">
                  <c:v>39.799999999999997</c:v>
                </c:pt>
                <c:pt idx="397">
                  <c:v>39.9</c:v>
                </c:pt>
                <c:pt idx="398">
                  <c:v>40</c:v>
                </c:pt>
                <c:pt idx="399">
                  <c:v>40.1</c:v>
                </c:pt>
                <c:pt idx="400">
                  <c:v>40.200000000000003</c:v>
                </c:pt>
                <c:pt idx="401">
                  <c:v>40.299999999999997</c:v>
                </c:pt>
                <c:pt idx="402">
                  <c:v>40.4</c:v>
                </c:pt>
                <c:pt idx="403">
                  <c:v>40.5</c:v>
                </c:pt>
                <c:pt idx="404">
                  <c:v>40.6</c:v>
                </c:pt>
                <c:pt idx="405">
                  <c:v>40.700000000000003</c:v>
                </c:pt>
                <c:pt idx="406">
                  <c:v>40.799999999999997</c:v>
                </c:pt>
                <c:pt idx="407">
                  <c:v>40.9</c:v>
                </c:pt>
                <c:pt idx="408">
                  <c:v>41</c:v>
                </c:pt>
                <c:pt idx="409">
                  <c:v>41.1</c:v>
                </c:pt>
                <c:pt idx="410">
                  <c:v>41.2</c:v>
                </c:pt>
                <c:pt idx="411">
                  <c:v>41.3</c:v>
                </c:pt>
                <c:pt idx="412">
                  <c:v>41.4</c:v>
                </c:pt>
                <c:pt idx="413">
                  <c:v>41.5</c:v>
                </c:pt>
                <c:pt idx="414">
                  <c:v>41.6</c:v>
                </c:pt>
                <c:pt idx="415">
                  <c:v>41.7</c:v>
                </c:pt>
                <c:pt idx="416">
                  <c:v>41.8</c:v>
                </c:pt>
                <c:pt idx="417">
                  <c:v>41.9</c:v>
                </c:pt>
                <c:pt idx="418">
                  <c:v>42</c:v>
                </c:pt>
                <c:pt idx="419">
                  <c:v>42.1</c:v>
                </c:pt>
                <c:pt idx="420">
                  <c:v>42.2</c:v>
                </c:pt>
                <c:pt idx="421">
                  <c:v>42.3</c:v>
                </c:pt>
                <c:pt idx="422">
                  <c:v>42.4</c:v>
                </c:pt>
                <c:pt idx="423">
                  <c:v>42.5</c:v>
                </c:pt>
                <c:pt idx="424">
                  <c:v>42.6</c:v>
                </c:pt>
                <c:pt idx="425">
                  <c:v>42.7</c:v>
                </c:pt>
                <c:pt idx="426">
                  <c:v>42.8</c:v>
                </c:pt>
                <c:pt idx="427">
                  <c:v>42.9</c:v>
                </c:pt>
                <c:pt idx="428">
                  <c:v>43</c:v>
                </c:pt>
                <c:pt idx="429">
                  <c:v>43.1</c:v>
                </c:pt>
                <c:pt idx="430">
                  <c:v>43.2</c:v>
                </c:pt>
                <c:pt idx="431">
                  <c:v>43.3</c:v>
                </c:pt>
                <c:pt idx="432">
                  <c:v>43.4</c:v>
                </c:pt>
                <c:pt idx="433">
                  <c:v>43.5</c:v>
                </c:pt>
                <c:pt idx="434">
                  <c:v>43.6</c:v>
                </c:pt>
                <c:pt idx="435">
                  <c:v>43.7</c:v>
                </c:pt>
                <c:pt idx="436">
                  <c:v>43.8</c:v>
                </c:pt>
                <c:pt idx="437">
                  <c:v>43.9</c:v>
                </c:pt>
                <c:pt idx="438">
                  <c:v>44</c:v>
                </c:pt>
                <c:pt idx="439">
                  <c:v>44.1</c:v>
                </c:pt>
                <c:pt idx="440">
                  <c:v>44.2</c:v>
                </c:pt>
                <c:pt idx="441">
                  <c:v>44.3</c:v>
                </c:pt>
                <c:pt idx="442">
                  <c:v>44.4</c:v>
                </c:pt>
                <c:pt idx="443">
                  <c:v>44.5</c:v>
                </c:pt>
                <c:pt idx="444">
                  <c:v>44.6</c:v>
                </c:pt>
                <c:pt idx="445">
                  <c:v>44.7</c:v>
                </c:pt>
                <c:pt idx="446">
                  <c:v>44.8</c:v>
                </c:pt>
                <c:pt idx="447">
                  <c:v>44.9</c:v>
                </c:pt>
                <c:pt idx="448">
                  <c:v>45</c:v>
                </c:pt>
                <c:pt idx="449">
                  <c:v>45.1</c:v>
                </c:pt>
                <c:pt idx="450">
                  <c:v>45.2</c:v>
                </c:pt>
                <c:pt idx="451">
                  <c:v>45.3</c:v>
                </c:pt>
                <c:pt idx="452">
                  <c:v>45.4</c:v>
                </c:pt>
                <c:pt idx="453">
                  <c:v>45.5</c:v>
                </c:pt>
                <c:pt idx="454">
                  <c:v>45.6</c:v>
                </c:pt>
                <c:pt idx="455">
                  <c:v>45.7</c:v>
                </c:pt>
                <c:pt idx="456">
                  <c:v>45.8</c:v>
                </c:pt>
                <c:pt idx="457">
                  <c:v>45.9</c:v>
                </c:pt>
                <c:pt idx="458">
                  <c:v>46</c:v>
                </c:pt>
                <c:pt idx="459">
                  <c:v>46.1</c:v>
                </c:pt>
                <c:pt idx="460">
                  <c:v>46.2</c:v>
                </c:pt>
                <c:pt idx="461">
                  <c:v>46.3</c:v>
                </c:pt>
                <c:pt idx="462">
                  <c:v>46.4</c:v>
                </c:pt>
                <c:pt idx="463">
                  <c:v>46.5</c:v>
                </c:pt>
                <c:pt idx="464">
                  <c:v>46.6</c:v>
                </c:pt>
                <c:pt idx="465">
                  <c:v>46.7</c:v>
                </c:pt>
                <c:pt idx="466">
                  <c:v>46.8</c:v>
                </c:pt>
                <c:pt idx="467">
                  <c:v>46.9</c:v>
                </c:pt>
                <c:pt idx="468">
                  <c:v>47</c:v>
                </c:pt>
                <c:pt idx="469">
                  <c:v>47.1</c:v>
                </c:pt>
                <c:pt idx="470">
                  <c:v>47.2</c:v>
                </c:pt>
                <c:pt idx="471">
                  <c:v>47.3</c:v>
                </c:pt>
                <c:pt idx="472">
                  <c:v>47.4</c:v>
                </c:pt>
                <c:pt idx="473">
                  <c:v>47.5</c:v>
                </c:pt>
                <c:pt idx="474">
                  <c:v>47.6</c:v>
                </c:pt>
                <c:pt idx="475">
                  <c:v>47.7</c:v>
                </c:pt>
                <c:pt idx="476">
                  <c:v>47.8</c:v>
                </c:pt>
                <c:pt idx="477">
                  <c:v>47.9</c:v>
                </c:pt>
                <c:pt idx="478">
                  <c:v>48</c:v>
                </c:pt>
                <c:pt idx="479">
                  <c:v>48.1</c:v>
                </c:pt>
                <c:pt idx="480">
                  <c:v>48.2</c:v>
                </c:pt>
                <c:pt idx="481">
                  <c:v>48.3</c:v>
                </c:pt>
                <c:pt idx="482">
                  <c:v>48.4</c:v>
                </c:pt>
                <c:pt idx="483">
                  <c:v>48.5</c:v>
                </c:pt>
                <c:pt idx="484">
                  <c:v>48.6</c:v>
                </c:pt>
                <c:pt idx="485">
                  <c:v>48.7</c:v>
                </c:pt>
                <c:pt idx="486">
                  <c:v>48.8</c:v>
                </c:pt>
                <c:pt idx="487">
                  <c:v>48.9</c:v>
                </c:pt>
                <c:pt idx="488">
                  <c:v>49</c:v>
                </c:pt>
                <c:pt idx="489">
                  <c:v>49.1</c:v>
                </c:pt>
                <c:pt idx="490">
                  <c:v>49.2</c:v>
                </c:pt>
                <c:pt idx="491">
                  <c:v>49.3</c:v>
                </c:pt>
                <c:pt idx="492">
                  <c:v>49.4</c:v>
                </c:pt>
                <c:pt idx="493">
                  <c:v>49.5</c:v>
                </c:pt>
                <c:pt idx="494">
                  <c:v>49.6</c:v>
                </c:pt>
                <c:pt idx="495">
                  <c:v>49.7</c:v>
                </c:pt>
                <c:pt idx="496">
                  <c:v>49.8</c:v>
                </c:pt>
                <c:pt idx="497">
                  <c:v>49.9</c:v>
                </c:pt>
                <c:pt idx="498">
                  <c:v>50</c:v>
                </c:pt>
                <c:pt idx="499">
                  <c:v>50.1</c:v>
                </c:pt>
                <c:pt idx="500">
                  <c:v>50.2</c:v>
                </c:pt>
                <c:pt idx="501">
                  <c:v>50.3</c:v>
                </c:pt>
                <c:pt idx="502">
                  <c:v>50.4</c:v>
                </c:pt>
                <c:pt idx="503">
                  <c:v>50.5</c:v>
                </c:pt>
                <c:pt idx="504">
                  <c:v>50.6</c:v>
                </c:pt>
                <c:pt idx="505">
                  <c:v>50.7</c:v>
                </c:pt>
                <c:pt idx="506">
                  <c:v>50.8</c:v>
                </c:pt>
                <c:pt idx="507">
                  <c:v>50.9</c:v>
                </c:pt>
                <c:pt idx="508">
                  <c:v>51</c:v>
                </c:pt>
                <c:pt idx="509">
                  <c:v>51.1</c:v>
                </c:pt>
                <c:pt idx="510">
                  <c:v>51.2</c:v>
                </c:pt>
                <c:pt idx="511">
                  <c:v>51.3</c:v>
                </c:pt>
                <c:pt idx="512">
                  <c:v>51.4</c:v>
                </c:pt>
                <c:pt idx="513">
                  <c:v>51.5</c:v>
                </c:pt>
                <c:pt idx="514">
                  <c:v>51.6</c:v>
                </c:pt>
                <c:pt idx="515">
                  <c:v>51.7</c:v>
                </c:pt>
                <c:pt idx="516">
                  <c:v>51.8</c:v>
                </c:pt>
                <c:pt idx="517">
                  <c:v>51.9</c:v>
                </c:pt>
                <c:pt idx="518">
                  <c:v>52</c:v>
                </c:pt>
                <c:pt idx="519">
                  <c:v>52.1</c:v>
                </c:pt>
                <c:pt idx="520">
                  <c:v>52.2</c:v>
                </c:pt>
                <c:pt idx="521">
                  <c:v>52.3</c:v>
                </c:pt>
                <c:pt idx="522">
                  <c:v>52.4</c:v>
                </c:pt>
                <c:pt idx="523">
                  <c:v>52.5</c:v>
                </c:pt>
                <c:pt idx="524">
                  <c:v>52.6</c:v>
                </c:pt>
                <c:pt idx="525">
                  <c:v>52.7</c:v>
                </c:pt>
                <c:pt idx="526">
                  <c:v>52.8</c:v>
                </c:pt>
                <c:pt idx="527">
                  <c:v>52.9</c:v>
                </c:pt>
                <c:pt idx="528">
                  <c:v>53</c:v>
                </c:pt>
                <c:pt idx="529">
                  <c:v>53.1</c:v>
                </c:pt>
                <c:pt idx="530">
                  <c:v>53.2</c:v>
                </c:pt>
                <c:pt idx="531">
                  <c:v>53.3</c:v>
                </c:pt>
                <c:pt idx="532">
                  <c:v>53.4</c:v>
                </c:pt>
                <c:pt idx="533">
                  <c:v>53.5</c:v>
                </c:pt>
                <c:pt idx="534">
                  <c:v>53.6</c:v>
                </c:pt>
                <c:pt idx="535">
                  <c:v>53.7</c:v>
                </c:pt>
                <c:pt idx="536">
                  <c:v>53.8</c:v>
                </c:pt>
                <c:pt idx="537">
                  <c:v>53.9</c:v>
                </c:pt>
                <c:pt idx="538">
                  <c:v>54</c:v>
                </c:pt>
                <c:pt idx="539">
                  <c:v>54.1</c:v>
                </c:pt>
                <c:pt idx="540">
                  <c:v>54.2</c:v>
                </c:pt>
                <c:pt idx="541">
                  <c:v>54.3</c:v>
                </c:pt>
                <c:pt idx="542">
                  <c:v>54.4</c:v>
                </c:pt>
                <c:pt idx="543">
                  <c:v>54.5</c:v>
                </c:pt>
                <c:pt idx="544">
                  <c:v>54.6</c:v>
                </c:pt>
                <c:pt idx="545">
                  <c:v>54.7</c:v>
                </c:pt>
                <c:pt idx="546">
                  <c:v>54.8</c:v>
                </c:pt>
                <c:pt idx="547">
                  <c:v>54.9</c:v>
                </c:pt>
                <c:pt idx="548">
                  <c:v>55</c:v>
                </c:pt>
                <c:pt idx="549">
                  <c:v>55.1</c:v>
                </c:pt>
                <c:pt idx="550">
                  <c:v>55.2</c:v>
                </c:pt>
                <c:pt idx="551">
                  <c:v>55.3</c:v>
                </c:pt>
                <c:pt idx="552">
                  <c:v>55.4</c:v>
                </c:pt>
                <c:pt idx="553">
                  <c:v>55.5</c:v>
                </c:pt>
                <c:pt idx="554">
                  <c:v>55.6</c:v>
                </c:pt>
                <c:pt idx="555">
                  <c:v>55.7</c:v>
                </c:pt>
                <c:pt idx="556">
                  <c:v>55.8</c:v>
                </c:pt>
                <c:pt idx="557">
                  <c:v>55.9</c:v>
                </c:pt>
                <c:pt idx="558">
                  <c:v>56</c:v>
                </c:pt>
                <c:pt idx="559">
                  <c:v>56.1</c:v>
                </c:pt>
                <c:pt idx="560">
                  <c:v>56.2</c:v>
                </c:pt>
                <c:pt idx="561">
                  <c:v>56.3</c:v>
                </c:pt>
                <c:pt idx="562">
                  <c:v>56.4</c:v>
                </c:pt>
                <c:pt idx="563">
                  <c:v>56.5</c:v>
                </c:pt>
                <c:pt idx="564">
                  <c:v>56.6</c:v>
                </c:pt>
                <c:pt idx="565">
                  <c:v>56.7</c:v>
                </c:pt>
                <c:pt idx="566">
                  <c:v>56.8</c:v>
                </c:pt>
                <c:pt idx="567">
                  <c:v>56.9</c:v>
                </c:pt>
                <c:pt idx="568">
                  <c:v>57</c:v>
                </c:pt>
                <c:pt idx="569">
                  <c:v>57.1</c:v>
                </c:pt>
                <c:pt idx="570">
                  <c:v>57.2</c:v>
                </c:pt>
                <c:pt idx="571">
                  <c:v>57.3</c:v>
                </c:pt>
                <c:pt idx="572">
                  <c:v>57.4</c:v>
                </c:pt>
                <c:pt idx="573">
                  <c:v>57.5</c:v>
                </c:pt>
                <c:pt idx="574">
                  <c:v>57.6</c:v>
                </c:pt>
                <c:pt idx="575">
                  <c:v>57.7</c:v>
                </c:pt>
                <c:pt idx="576">
                  <c:v>57.8</c:v>
                </c:pt>
                <c:pt idx="577">
                  <c:v>57.9</c:v>
                </c:pt>
                <c:pt idx="578">
                  <c:v>58</c:v>
                </c:pt>
                <c:pt idx="579">
                  <c:v>58.1</c:v>
                </c:pt>
                <c:pt idx="580">
                  <c:v>58.2</c:v>
                </c:pt>
                <c:pt idx="581">
                  <c:v>58.3</c:v>
                </c:pt>
                <c:pt idx="582">
                  <c:v>58.4</c:v>
                </c:pt>
                <c:pt idx="583">
                  <c:v>58.5</c:v>
                </c:pt>
                <c:pt idx="584">
                  <c:v>58.6</c:v>
                </c:pt>
                <c:pt idx="585">
                  <c:v>58.7</c:v>
                </c:pt>
                <c:pt idx="586">
                  <c:v>58.8</c:v>
                </c:pt>
                <c:pt idx="587">
                  <c:v>58.9</c:v>
                </c:pt>
                <c:pt idx="588">
                  <c:v>59</c:v>
                </c:pt>
                <c:pt idx="589">
                  <c:v>59.1</c:v>
                </c:pt>
                <c:pt idx="590">
                  <c:v>59.2</c:v>
                </c:pt>
                <c:pt idx="591">
                  <c:v>59.3</c:v>
                </c:pt>
                <c:pt idx="592">
                  <c:v>59.4</c:v>
                </c:pt>
                <c:pt idx="593">
                  <c:v>59.5</c:v>
                </c:pt>
                <c:pt idx="594">
                  <c:v>59.6</c:v>
                </c:pt>
                <c:pt idx="595">
                  <c:v>59.7</c:v>
                </c:pt>
                <c:pt idx="596">
                  <c:v>59.8</c:v>
                </c:pt>
                <c:pt idx="597">
                  <c:v>59.9</c:v>
                </c:pt>
                <c:pt idx="598">
                  <c:v>60</c:v>
                </c:pt>
                <c:pt idx="599">
                  <c:v>60.1</c:v>
                </c:pt>
                <c:pt idx="600">
                  <c:v>60.2</c:v>
                </c:pt>
                <c:pt idx="601">
                  <c:v>60.3</c:v>
                </c:pt>
                <c:pt idx="602">
                  <c:v>60.4</c:v>
                </c:pt>
                <c:pt idx="603">
                  <c:v>60.5</c:v>
                </c:pt>
                <c:pt idx="604">
                  <c:v>60.6</c:v>
                </c:pt>
                <c:pt idx="605">
                  <c:v>60.7</c:v>
                </c:pt>
                <c:pt idx="606">
                  <c:v>60.8</c:v>
                </c:pt>
                <c:pt idx="607">
                  <c:v>60.9</c:v>
                </c:pt>
                <c:pt idx="608">
                  <c:v>61</c:v>
                </c:pt>
                <c:pt idx="609">
                  <c:v>61.1</c:v>
                </c:pt>
                <c:pt idx="610">
                  <c:v>61.2</c:v>
                </c:pt>
                <c:pt idx="611">
                  <c:v>61.3</c:v>
                </c:pt>
                <c:pt idx="612">
                  <c:v>61.4</c:v>
                </c:pt>
                <c:pt idx="613">
                  <c:v>61.5</c:v>
                </c:pt>
                <c:pt idx="614">
                  <c:v>61.6</c:v>
                </c:pt>
                <c:pt idx="615">
                  <c:v>61.7</c:v>
                </c:pt>
                <c:pt idx="616">
                  <c:v>61.8</c:v>
                </c:pt>
                <c:pt idx="617">
                  <c:v>61.9</c:v>
                </c:pt>
                <c:pt idx="618">
                  <c:v>62</c:v>
                </c:pt>
                <c:pt idx="619">
                  <c:v>62.1</c:v>
                </c:pt>
                <c:pt idx="620">
                  <c:v>62.2</c:v>
                </c:pt>
                <c:pt idx="621">
                  <c:v>62.3</c:v>
                </c:pt>
                <c:pt idx="622">
                  <c:v>62.4</c:v>
                </c:pt>
                <c:pt idx="623">
                  <c:v>62.5</c:v>
                </c:pt>
                <c:pt idx="624">
                  <c:v>62.6</c:v>
                </c:pt>
                <c:pt idx="625">
                  <c:v>62.7</c:v>
                </c:pt>
                <c:pt idx="626">
                  <c:v>62.8</c:v>
                </c:pt>
                <c:pt idx="627">
                  <c:v>62.9</c:v>
                </c:pt>
                <c:pt idx="628">
                  <c:v>63</c:v>
                </c:pt>
                <c:pt idx="629">
                  <c:v>63.1</c:v>
                </c:pt>
                <c:pt idx="630">
                  <c:v>63.2</c:v>
                </c:pt>
                <c:pt idx="631">
                  <c:v>63.3</c:v>
                </c:pt>
                <c:pt idx="632">
                  <c:v>63.4</c:v>
                </c:pt>
                <c:pt idx="633">
                  <c:v>63.5</c:v>
                </c:pt>
                <c:pt idx="634">
                  <c:v>63.6</c:v>
                </c:pt>
                <c:pt idx="635">
                  <c:v>63.7</c:v>
                </c:pt>
                <c:pt idx="636">
                  <c:v>63.8</c:v>
                </c:pt>
                <c:pt idx="637">
                  <c:v>63.9</c:v>
                </c:pt>
                <c:pt idx="638">
                  <c:v>64</c:v>
                </c:pt>
                <c:pt idx="639">
                  <c:v>64.099999999999994</c:v>
                </c:pt>
                <c:pt idx="640">
                  <c:v>64.2</c:v>
                </c:pt>
                <c:pt idx="641">
                  <c:v>64.3</c:v>
                </c:pt>
                <c:pt idx="642">
                  <c:v>64.400000000000006</c:v>
                </c:pt>
                <c:pt idx="643">
                  <c:v>64.5</c:v>
                </c:pt>
                <c:pt idx="644">
                  <c:v>64.599999999999994</c:v>
                </c:pt>
                <c:pt idx="645">
                  <c:v>64.7</c:v>
                </c:pt>
                <c:pt idx="646">
                  <c:v>64.8</c:v>
                </c:pt>
                <c:pt idx="647">
                  <c:v>64.900000000000006</c:v>
                </c:pt>
                <c:pt idx="648">
                  <c:v>65</c:v>
                </c:pt>
                <c:pt idx="649">
                  <c:v>65.099999999999994</c:v>
                </c:pt>
                <c:pt idx="650">
                  <c:v>65.2</c:v>
                </c:pt>
                <c:pt idx="651">
                  <c:v>65.3</c:v>
                </c:pt>
                <c:pt idx="652">
                  <c:v>65.400000000000006</c:v>
                </c:pt>
                <c:pt idx="653">
                  <c:v>65.5</c:v>
                </c:pt>
                <c:pt idx="654">
                  <c:v>65.599999999999994</c:v>
                </c:pt>
                <c:pt idx="655">
                  <c:v>65.7</c:v>
                </c:pt>
                <c:pt idx="656">
                  <c:v>65.8</c:v>
                </c:pt>
                <c:pt idx="657">
                  <c:v>65.900000000000006</c:v>
                </c:pt>
                <c:pt idx="658">
                  <c:v>66</c:v>
                </c:pt>
                <c:pt idx="659">
                  <c:v>66.099999999999994</c:v>
                </c:pt>
                <c:pt idx="660">
                  <c:v>66.2</c:v>
                </c:pt>
                <c:pt idx="661">
                  <c:v>66.3</c:v>
                </c:pt>
                <c:pt idx="662">
                  <c:v>66.400000000000006</c:v>
                </c:pt>
                <c:pt idx="663">
                  <c:v>66.5</c:v>
                </c:pt>
                <c:pt idx="664">
                  <c:v>66.599999999999994</c:v>
                </c:pt>
                <c:pt idx="665">
                  <c:v>66.7</c:v>
                </c:pt>
                <c:pt idx="666">
                  <c:v>66.8</c:v>
                </c:pt>
                <c:pt idx="667">
                  <c:v>66.900000000000006</c:v>
                </c:pt>
                <c:pt idx="668">
                  <c:v>67</c:v>
                </c:pt>
                <c:pt idx="669">
                  <c:v>67.099999999999994</c:v>
                </c:pt>
                <c:pt idx="670">
                  <c:v>67.2</c:v>
                </c:pt>
                <c:pt idx="671">
                  <c:v>67.3</c:v>
                </c:pt>
                <c:pt idx="672">
                  <c:v>67.400000000000006</c:v>
                </c:pt>
                <c:pt idx="673">
                  <c:v>67.5</c:v>
                </c:pt>
                <c:pt idx="674">
                  <c:v>67.599999999999994</c:v>
                </c:pt>
                <c:pt idx="675">
                  <c:v>67.7</c:v>
                </c:pt>
                <c:pt idx="676">
                  <c:v>67.8</c:v>
                </c:pt>
                <c:pt idx="677">
                  <c:v>67.900000000000006</c:v>
                </c:pt>
                <c:pt idx="678">
                  <c:v>68</c:v>
                </c:pt>
                <c:pt idx="679">
                  <c:v>68.099999999999994</c:v>
                </c:pt>
                <c:pt idx="680">
                  <c:v>68.2</c:v>
                </c:pt>
                <c:pt idx="681">
                  <c:v>68.3</c:v>
                </c:pt>
                <c:pt idx="682">
                  <c:v>68.400000000000006</c:v>
                </c:pt>
                <c:pt idx="683">
                  <c:v>68.5</c:v>
                </c:pt>
                <c:pt idx="684">
                  <c:v>68.599999999999994</c:v>
                </c:pt>
                <c:pt idx="685">
                  <c:v>68.7</c:v>
                </c:pt>
                <c:pt idx="686">
                  <c:v>68.8</c:v>
                </c:pt>
                <c:pt idx="687">
                  <c:v>68.900000000000006</c:v>
                </c:pt>
                <c:pt idx="688">
                  <c:v>69</c:v>
                </c:pt>
                <c:pt idx="689">
                  <c:v>69.099999999999994</c:v>
                </c:pt>
                <c:pt idx="690">
                  <c:v>69.2</c:v>
                </c:pt>
                <c:pt idx="691">
                  <c:v>69.3</c:v>
                </c:pt>
                <c:pt idx="692">
                  <c:v>69.400000000000006</c:v>
                </c:pt>
                <c:pt idx="693">
                  <c:v>69.5</c:v>
                </c:pt>
                <c:pt idx="694">
                  <c:v>69.599999999999994</c:v>
                </c:pt>
                <c:pt idx="695">
                  <c:v>69.7</c:v>
                </c:pt>
                <c:pt idx="696">
                  <c:v>69.8</c:v>
                </c:pt>
                <c:pt idx="697">
                  <c:v>69.900000000000006</c:v>
                </c:pt>
                <c:pt idx="698">
                  <c:v>70</c:v>
                </c:pt>
                <c:pt idx="699">
                  <c:v>70.099999999999994</c:v>
                </c:pt>
                <c:pt idx="700">
                  <c:v>70.2</c:v>
                </c:pt>
                <c:pt idx="701">
                  <c:v>70.3</c:v>
                </c:pt>
                <c:pt idx="702">
                  <c:v>70.400000000000006</c:v>
                </c:pt>
                <c:pt idx="703">
                  <c:v>70.5</c:v>
                </c:pt>
                <c:pt idx="704">
                  <c:v>70.599999999999994</c:v>
                </c:pt>
                <c:pt idx="705">
                  <c:v>70.7</c:v>
                </c:pt>
                <c:pt idx="706">
                  <c:v>70.8</c:v>
                </c:pt>
                <c:pt idx="707">
                  <c:v>70.900000000000006</c:v>
                </c:pt>
                <c:pt idx="708">
                  <c:v>71</c:v>
                </c:pt>
                <c:pt idx="709">
                  <c:v>71.099999999999994</c:v>
                </c:pt>
                <c:pt idx="710">
                  <c:v>71.2</c:v>
                </c:pt>
                <c:pt idx="711">
                  <c:v>71.3</c:v>
                </c:pt>
                <c:pt idx="712">
                  <c:v>71.400000000000006</c:v>
                </c:pt>
                <c:pt idx="713">
                  <c:v>71.5</c:v>
                </c:pt>
                <c:pt idx="714">
                  <c:v>71.599999999999994</c:v>
                </c:pt>
                <c:pt idx="715">
                  <c:v>71.7</c:v>
                </c:pt>
                <c:pt idx="716">
                  <c:v>71.8</c:v>
                </c:pt>
                <c:pt idx="717">
                  <c:v>71.900000000000006</c:v>
                </c:pt>
                <c:pt idx="718">
                  <c:v>72</c:v>
                </c:pt>
                <c:pt idx="719">
                  <c:v>72.099999999999994</c:v>
                </c:pt>
                <c:pt idx="720">
                  <c:v>72.2</c:v>
                </c:pt>
                <c:pt idx="721">
                  <c:v>72.3</c:v>
                </c:pt>
                <c:pt idx="722">
                  <c:v>72.400000000000006</c:v>
                </c:pt>
                <c:pt idx="723">
                  <c:v>72.5</c:v>
                </c:pt>
                <c:pt idx="724">
                  <c:v>72.599999999999994</c:v>
                </c:pt>
                <c:pt idx="725">
                  <c:v>72.7</c:v>
                </c:pt>
                <c:pt idx="726">
                  <c:v>72.8</c:v>
                </c:pt>
                <c:pt idx="727">
                  <c:v>72.900000000000006</c:v>
                </c:pt>
                <c:pt idx="728">
                  <c:v>73</c:v>
                </c:pt>
                <c:pt idx="729">
                  <c:v>73.099999999999994</c:v>
                </c:pt>
                <c:pt idx="730">
                  <c:v>73.2</c:v>
                </c:pt>
                <c:pt idx="731">
                  <c:v>73.3</c:v>
                </c:pt>
                <c:pt idx="732">
                  <c:v>73.400000000000006</c:v>
                </c:pt>
                <c:pt idx="733">
                  <c:v>73.5</c:v>
                </c:pt>
                <c:pt idx="734">
                  <c:v>73.599999999999994</c:v>
                </c:pt>
                <c:pt idx="735">
                  <c:v>73.7</c:v>
                </c:pt>
                <c:pt idx="736">
                  <c:v>73.8</c:v>
                </c:pt>
                <c:pt idx="737">
                  <c:v>73.900000000000006</c:v>
                </c:pt>
                <c:pt idx="738">
                  <c:v>74</c:v>
                </c:pt>
                <c:pt idx="739">
                  <c:v>74.099999999999994</c:v>
                </c:pt>
                <c:pt idx="740">
                  <c:v>74.2</c:v>
                </c:pt>
                <c:pt idx="741">
                  <c:v>74.3</c:v>
                </c:pt>
                <c:pt idx="742">
                  <c:v>74.400000000000006</c:v>
                </c:pt>
                <c:pt idx="743">
                  <c:v>74.5</c:v>
                </c:pt>
                <c:pt idx="744">
                  <c:v>74.599999999999994</c:v>
                </c:pt>
                <c:pt idx="745">
                  <c:v>74.7</c:v>
                </c:pt>
                <c:pt idx="746">
                  <c:v>74.8</c:v>
                </c:pt>
                <c:pt idx="747">
                  <c:v>74.900000000000006</c:v>
                </c:pt>
                <c:pt idx="748">
                  <c:v>75</c:v>
                </c:pt>
                <c:pt idx="749">
                  <c:v>75.099999999999994</c:v>
                </c:pt>
                <c:pt idx="750">
                  <c:v>75.2</c:v>
                </c:pt>
                <c:pt idx="751">
                  <c:v>75.3</c:v>
                </c:pt>
                <c:pt idx="752">
                  <c:v>75.400000000000006</c:v>
                </c:pt>
                <c:pt idx="753">
                  <c:v>75.5</c:v>
                </c:pt>
                <c:pt idx="754">
                  <c:v>75.599999999999994</c:v>
                </c:pt>
                <c:pt idx="755">
                  <c:v>75.7</c:v>
                </c:pt>
                <c:pt idx="756">
                  <c:v>75.8</c:v>
                </c:pt>
                <c:pt idx="757">
                  <c:v>75.900000000000006</c:v>
                </c:pt>
                <c:pt idx="758">
                  <c:v>76</c:v>
                </c:pt>
                <c:pt idx="759">
                  <c:v>76.099999999999994</c:v>
                </c:pt>
                <c:pt idx="760">
                  <c:v>76.2</c:v>
                </c:pt>
                <c:pt idx="761">
                  <c:v>76.3</c:v>
                </c:pt>
                <c:pt idx="762">
                  <c:v>76.400000000000006</c:v>
                </c:pt>
                <c:pt idx="763">
                  <c:v>76.5</c:v>
                </c:pt>
                <c:pt idx="764">
                  <c:v>76.599999999999994</c:v>
                </c:pt>
                <c:pt idx="765">
                  <c:v>76.7</c:v>
                </c:pt>
                <c:pt idx="766">
                  <c:v>76.8</c:v>
                </c:pt>
                <c:pt idx="767">
                  <c:v>76.900000000000006</c:v>
                </c:pt>
                <c:pt idx="768">
                  <c:v>77</c:v>
                </c:pt>
                <c:pt idx="769">
                  <c:v>77.099999999999994</c:v>
                </c:pt>
                <c:pt idx="770">
                  <c:v>77.2</c:v>
                </c:pt>
                <c:pt idx="771">
                  <c:v>77.3</c:v>
                </c:pt>
                <c:pt idx="772">
                  <c:v>77.400000000000006</c:v>
                </c:pt>
                <c:pt idx="773">
                  <c:v>77.5</c:v>
                </c:pt>
                <c:pt idx="774">
                  <c:v>77.599999999999994</c:v>
                </c:pt>
                <c:pt idx="775">
                  <c:v>77.7</c:v>
                </c:pt>
                <c:pt idx="776">
                  <c:v>77.8</c:v>
                </c:pt>
                <c:pt idx="777">
                  <c:v>77.900000000000006</c:v>
                </c:pt>
                <c:pt idx="778">
                  <c:v>78</c:v>
                </c:pt>
                <c:pt idx="779">
                  <c:v>78.099999999999994</c:v>
                </c:pt>
                <c:pt idx="780">
                  <c:v>78.2</c:v>
                </c:pt>
                <c:pt idx="781">
                  <c:v>78.3</c:v>
                </c:pt>
                <c:pt idx="782">
                  <c:v>78.400000000000006</c:v>
                </c:pt>
                <c:pt idx="783">
                  <c:v>78.5</c:v>
                </c:pt>
                <c:pt idx="784">
                  <c:v>78.599999999999994</c:v>
                </c:pt>
                <c:pt idx="785">
                  <c:v>78.7</c:v>
                </c:pt>
                <c:pt idx="786">
                  <c:v>78.8</c:v>
                </c:pt>
                <c:pt idx="787">
                  <c:v>78.900000000000006</c:v>
                </c:pt>
                <c:pt idx="788">
                  <c:v>79</c:v>
                </c:pt>
                <c:pt idx="789">
                  <c:v>79.099999999999994</c:v>
                </c:pt>
                <c:pt idx="790">
                  <c:v>79.2</c:v>
                </c:pt>
                <c:pt idx="791">
                  <c:v>79.3</c:v>
                </c:pt>
                <c:pt idx="792">
                  <c:v>79.400000000000006</c:v>
                </c:pt>
                <c:pt idx="793">
                  <c:v>79.5</c:v>
                </c:pt>
                <c:pt idx="794">
                  <c:v>79.599999999999994</c:v>
                </c:pt>
                <c:pt idx="795">
                  <c:v>79.7</c:v>
                </c:pt>
                <c:pt idx="796">
                  <c:v>79.8</c:v>
                </c:pt>
                <c:pt idx="797">
                  <c:v>79.900000000000006</c:v>
                </c:pt>
                <c:pt idx="798">
                  <c:v>80</c:v>
                </c:pt>
                <c:pt idx="799">
                  <c:v>80.099999999999994</c:v>
                </c:pt>
                <c:pt idx="800">
                  <c:v>80.2</c:v>
                </c:pt>
                <c:pt idx="801">
                  <c:v>80.3</c:v>
                </c:pt>
                <c:pt idx="802">
                  <c:v>80.400000000000006</c:v>
                </c:pt>
                <c:pt idx="803">
                  <c:v>80.5</c:v>
                </c:pt>
                <c:pt idx="804">
                  <c:v>80.599999999999994</c:v>
                </c:pt>
                <c:pt idx="805">
                  <c:v>80.7</c:v>
                </c:pt>
                <c:pt idx="806">
                  <c:v>80.8</c:v>
                </c:pt>
                <c:pt idx="807">
                  <c:v>80.900000000000006</c:v>
                </c:pt>
                <c:pt idx="808">
                  <c:v>81</c:v>
                </c:pt>
                <c:pt idx="809">
                  <c:v>81.099999999999994</c:v>
                </c:pt>
                <c:pt idx="810">
                  <c:v>81.2</c:v>
                </c:pt>
                <c:pt idx="811">
                  <c:v>81.3</c:v>
                </c:pt>
                <c:pt idx="812">
                  <c:v>81.400000000000006</c:v>
                </c:pt>
                <c:pt idx="813">
                  <c:v>81.5</c:v>
                </c:pt>
                <c:pt idx="814">
                  <c:v>81.599999999999994</c:v>
                </c:pt>
                <c:pt idx="815">
                  <c:v>81.7</c:v>
                </c:pt>
                <c:pt idx="816">
                  <c:v>81.8</c:v>
                </c:pt>
                <c:pt idx="817">
                  <c:v>81.900000000000006</c:v>
                </c:pt>
                <c:pt idx="818">
                  <c:v>82</c:v>
                </c:pt>
                <c:pt idx="819">
                  <c:v>82.1</c:v>
                </c:pt>
                <c:pt idx="820">
                  <c:v>82.2</c:v>
                </c:pt>
                <c:pt idx="821">
                  <c:v>82.3</c:v>
                </c:pt>
                <c:pt idx="822">
                  <c:v>82.4</c:v>
                </c:pt>
                <c:pt idx="823">
                  <c:v>82.5</c:v>
                </c:pt>
                <c:pt idx="824">
                  <c:v>82.6</c:v>
                </c:pt>
                <c:pt idx="825">
                  <c:v>82.7</c:v>
                </c:pt>
                <c:pt idx="826">
                  <c:v>82.8</c:v>
                </c:pt>
                <c:pt idx="827">
                  <c:v>82.9</c:v>
                </c:pt>
                <c:pt idx="828">
                  <c:v>83</c:v>
                </c:pt>
                <c:pt idx="829">
                  <c:v>83.1</c:v>
                </c:pt>
                <c:pt idx="830">
                  <c:v>83.2</c:v>
                </c:pt>
                <c:pt idx="831">
                  <c:v>83.3</c:v>
                </c:pt>
                <c:pt idx="832">
                  <c:v>83.4</c:v>
                </c:pt>
                <c:pt idx="833">
                  <c:v>83.5</c:v>
                </c:pt>
                <c:pt idx="834">
                  <c:v>83.6</c:v>
                </c:pt>
                <c:pt idx="835">
                  <c:v>83.7</c:v>
                </c:pt>
                <c:pt idx="836">
                  <c:v>83.8</c:v>
                </c:pt>
                <c:pt idx="837">
                  <c:v>83.9</c:v>
                </c:pt>
                <c:pt idx="838">
                  <c:v>84</c:v>
                </c:pt>
                <c:pt idx="839">
                  <c:v>84.1</c:v>
                </c:pt>
                <c:pt idx="840">
                  <c:v>84.2</c:v>
                </c:pt>
                <c:pt idx="841">
                  <c:v>84.3</c:v>
                </c:pt>
                <c:pt idx="842">
                  <c:v>84.4</c:v>
                </c:pt>
                <c:pt idx="843">
                  <c:v>84.5</c:v>
                </c:pt>
                <c:pt idx="844">
                  <c:v>84.6</c:v>
                </c:pt>
                <c:pt idx="845">
                  <c:v>84.7</c:v>
                </c:pt>
                <c:pt idx="846">
                  <c:v>84.8</c:v>
                </c:pt>
                <c:pt idx="847">
                  <c:v>84.9</c:v>
                </c:pt>
                <c:pt idx="848">
                  <c:v>85</c:v>
                </c:pt>
                <c:pt idx="849">
                  <c:v>85.1</c:v>
                </c:pt>
                <c:pt idx="850">
                  <c:v>85.2</c:v>
                </c:pt>
                <c:pt idx="851">
                  <c:v>85.3</c:v>
                </c:pt>
                <c:pt idx="852">
                  <c:v>85.4</c:v>
                </c:pt>
                <c:pt idx="853">
                  <c:v>85.5</c:v>
                </c:pt>
                <c:pt idx="854">
                  <c:v>85.6</c:v>
                </c:pt>
                <c:pt idx="855">
                  <c:v>85.7</c:v>
                </c:pt>
                <c:pt idx="856">
                  <c:v>85.8</c:v>
                </c:pt>
                <c:pt idx="857">
                  <c:v>85.9</c:v>
                </c:pt>
                <c:pt idx="858">
                  <c:v>86</c:v>
                </c:pt>
                <c:pt idx="859">
                  <c:v>86.1</c:v>
                </c:pt>
                <c:pt idx="860">
                  <c:v>86.2</c:v>
                </c:pt>
                <c:pt idx="861">
                  <c:v>86.3</c:v>
                </c:pt>
                <c:pt idx="862">
                  <c:v>86.4</c:v>
                </c:pt>
                <c:pt idx="863">
                  <c:v>86.5</c:v>
                </c:pt>
                <c:pt idx="864">
                  <c:v>86.6</c:v>
                </c:pt>
                <c:pt idx="865">
                  <c:v>86.7</c:v>
                </c:pt>
                <c:pt idx="866">
                  <c:v>86.8</c:v>
                </c:pt>
                <c:pt idx="867">
                  <c:v>86.9</c:v>
                </c:pt>
                <c:pt idx="868">
                  <c:v>87</c:v>
                </c:pt>
                <c:pt idx="869">
                  <c:v>87.1</c:v>
                </c:pt>
                <c:pt idx="870">
                  <c:v>87.2</c:v>
                </c:pt>
                <c:pt idx="871">
                  <c:v>87.3</c:v>
                </c:pt>
                <c:pt idx="872">
                  <c:v>87.4</c:v>
                </c:pt>
                <c:pt idx="873">
                  <c:v>87.5</c:v>
                </c:pt>
                <c:pt idx="874">
                  <c:v>87.6</c:v>
                </c:pt>
                <c:pt idx="875">
                  <c:v>87.7</c:v>
                </c:pt>
                <c:pt idx="876">
                  <c:v>87.8</c:v>
                </c:pt>
                <c:pt idx="877">
                  <c:v>87.9</c:v>
                </c:pt>
                <c:pt idx="878">
                  <c:v>88</c:v>
                </c:pt>
                <c:pt idx="879">
                  <c:v>88.1</c:v>
                </c:pt>
                <c:pt idx="880">
                  <c:v>88.2</c:v>
                </c:pt>
                <c:pt idx="881">
                  <c:v>88.3</c:v>
                </c:pt>
                <c:pt idx="882">
                  <c:v>88.4</c:v>
                </c:pt>
                <c:pt idx="883">
                  <c:v>88.5</c:v>
                </c:pt>
                <c:pt idx="884">
                  <c:v>88.6</c:v>
                </c:pt>
                <c:pt idx="885">
                  <c:v>88.7</c:v>
                </c:pt>
                <c:pt idx="886">
                  <c:v>88.8</c:v>
                </c:pt>
                <c:pt idx="887">
                  <c:v>88.9</c:v>
                </c:pt>
                <c:pt idx="888">
                  <c:v>89</c:v>
                </c:pt>
                <c:pt idx="889">
                  <c:v>89.1</c:v>
                </c:pt>
                <c:pt idx="890">
                  <c:v>89.2</c:v>
                </c:pt>
                <c:pt idx="891">
                  <c:v>89.3</c:v>
                </c:pt>
                <c:pt idx="892">
                  <c:v>89.4</c:v>
                </c:pt>
                <c:pt idx="893">
                  <c:v>89.5</c:v>
                </c:pt>
                <c:pt idx="894">
                  <c:v>89.6</c:v>
                </c:pt>
                <c:pt idx="895">
                  <c:v>89.7</c:v>
                </c:pt>
                <c:pt idx="896">
                  <c:v>89.8</c:v>
                </c:pt>
                <c:pt idx="897">
                  <c:v>89.9</c:v>
                </c:pt>
                <c:pt idx="898">
                  <c:v>90</c:v>
                </c:pt>
                <c:pt idx="899">
                  <c:v>90.1</c:v>
                </c:pt>
                <c:pt idx="900">
                  <c:v>90.2</c:v>
                </c:pt>
                <c:pt idx="901">
                  <c:v>90.3</c:v>
                </c:pt>
                <c:pt idx="902">
                  <c:v>90.4</c:v>
                </c:pt>
                <c:pt idx="903">
                  <c:v>90.5</c:v>
                </c:pt>
                <c:pt idx="904">
                  <c:v>90.6</c:v>
                </c:pt>
                <c:pt idx="905">
                  <c:v>90.7</c:v>
                </c:pt>
                <c:pt idx="906">
                  <c:v>90.8</c:v>
                </c:pt>
                <c:pt idx="907">
                  <c:v>90.9</c:v>
                </c:pt>
                <c:pt idx="908">
                  <c:v>91</c:v>
                </c:pt>
                <c:pt idx="909">
                  <c:v>91.1</c:v>
                </c:pt>
                <c:pt idx="910">
                  <c:v>91.2</c:v>
                </c:pt>
                <c:pt idx="911">
                  <c:v>91.3</c:v>
                </c:pt>
                <c:pt idx="912">
                  <c:v>91.4</c:v>
                </c:pt>
                <c:pt idx="913">
                  <c:v>91.5</c:v>
                </c:pt>
                <c:pt idx="914">
                  <c:v>91.6</c:v>
                </c:pt>
                <c:pt idx="915">
                  <c:v>91.7</c:v>
                </c:pt>
                <c:pt idx="916">
                  <c:v>91.8</c:v>
                </c:pt>
                <c:pt idx="917">
                  <c:v>91.9</c:v>
                </c:pt>
                <c:pt idx="918">
                  <c:v>92</c:v>
                </c:pt>
                <c:pt idx="919">
                  <c:v>92.1</c:v>
                </c:pt>
                <c:pt idx="920">
                  <c:v>92.2</c:v>
                </c:pt>
                <c:pt idx="921">
                  <c:v>92.3</c:v>
                </c:pt>
                <c:pt idx="922">
                  <c:v>92.4</c:v>
                </c:pt>
                <c:pt idx="923">
                  <c:v>92.5</c:v>
                </c:pt>
                <c:pt idx="924">
                  <c:v>92.6</c:v>
                </c:pt>
                <c:pt idx="925">
                  <c:v>92.7</c:v>
                </c:pt>
                <c:pt idx="926">
                  <c:v>92.8</c:v>
                </c:pt>
                <c:pt idx="927">
                  <c:v>92.9</c:v>
                </c:pt>
                <c:pt idx="928">
                  <c:v>93</c:v>
                </c:pt>
                <c:pt idx="929">
                  <c:v>93.1</c:v>
                </c:pt>
                <c:pt idx="930">
                  <c:v>93.2</c:v>
                </c:pt>
                <c:pt idx="931">
                  <c:v>93.3</c:v>
                </c:pt>
                <c:pt idx="932">
                  <c:v>93.4</c:v>
                </c:pt>
                <c:pt idx="933">
                  <c:v>93.5</c:v>
                </c:pt>
                <c:pt idx="934">
                  <c:v>93.6</c:v>
                </c:pt>
                <c:pt idx="935">
                  <c:v>93.7</c:v>
                </c:pt>
                <c:pt idx="936">
                  <c:v>93.8</c:v>
                </c:pt>
                <c:pt idx="937">
                  <c:v>93.9</c:v>
                </c:pt>
                <c:pt idx="938">
                  <c:v>94</c:v>
                </c:pt>
                <c:pt idx="939">
                  <c:v>94.1</c:v>
                </c:pt>
                <c:pt idx="940">
                  <c:v>94.2</c:v>
                </c:pt>
                <c:pt idx="941">
                  <c:v>94.3</c:v>
                </c:pt>
                <c:pt idx="942">
                  <c:v>94.4</c:v>
                </c:pt>
                <c:pt idx="943">
                  <c:v>94.5</c:v>
                </c:pt>
                <c:pt idx="944">
                  <c:v>94.6</c:v>
                </c:pt>
                <c:pt idx="945">
                  <c:v>94.7</c:v>
                </c:pt>
                <c:pt idx="946">
                  <c:v>94.8</c:v>
                </c:pt>
                <c:pt idx="947">
                  <c:v>94.9</c:v>
                </c:pt>
                <c:pt idx="948">
                  <c:v>95</c:v>
                </c:pt>
                <c:pt idx="949">
                  <c:v>95.1</c:v>
                </c:pt>
                <c:pt idx="950">
                  <c:v>95.2</c:v>
                </c:pt>
                <c:pt idx="951">
                  <c:v>95.3</c:v>
                </c:pt>
                <c:pt idx="952">
                  <c:v>95.4</c:v>
                </c:pt>
                <c:pt idx="953">
                  <c:v>95.5</c:v>
                </c:pt>
                <c:pt idx="954">
                  <c:v>95.6</c:v>
                </c:pt>
                <c:pt idx="955">
                  <c:v>95.7</c:v>
                </c:pt>
                <c:pt idx="956">
                  <c:v>95.8</c:v>
                </c:pt>
                <c:pt idx="957">
                  <c:v>95.9</c:v>
                </c:pt>
                <c:pt idx="958">
                  <c:v>96</c:v>
                </c:pt>
                <c:pt idx="959">
                  <c:v>96.1</c:v>
                </c:pt>
                <c:pt idx="960">
                  <c:v>96.2</c:v>
                </c:pt>
                <c:pt idx="961">
                  <c:v>96.3</c:v>
                </c:pt>
                <c:pt idx="962">
                  <c:v>96.4</c:v>
                </c:pt>
                <c:pt idx="963">
                  <c:v>96.5</c:v>
                </c:pt>
                <c:pt idx="964">
                  <c:v>96.6</c:v>
                </c:pt>
                <c:pt idx="965">
                  <c:v>96.7</c:v>
                </c:pt>
                <c:pt idx="966">
                  <c:v>96.8</c:v>
                </c:pt>
                <c:pt idx="967">
                  <c:v>96.9</c:v>
                </c:pt>
                <c:pt idx="968">
                  <c:v>97</c:v>
                </c:pt>
                <c:pt idx="969">
                  <c:v>97.1</c:v>
                </c:pt>
                <c:pt idx="970">
                  <c:v>97.2</c:v>
                </c:pt>
                <c:pt idx="971">
                  <c:v>97.3</c:v>
                </c:pt>
                <c:pt idx="972">
                  <c:v>97.4</c:v>
                </c:pt>
                <c:pt idx="973">
                  <c:v>97.5</c:v>
                </c:pt>
                <c:pt idx="974">
                  <c:v>97.6</c:v>
                </c:pt>
                <c:pt idx="975">
                  <c:v>97.7</c:v>
                </c:pt>
                <c:pt idx="976">
                  <c:v>97.8</c:v>
                </c:pt>
                <c:pt idx="977">
                  <c:v>97.9</c:v>
                </c:pt>
                <c:pt idx="978">
                  <c:v>98</c:v>
                </c:pt>
                <c:pt idx="979">
                  <c:v>98.1</c:v>
                </c:pt>
                <c:pt idx="980">
                  <c:v>98.2</c:v>
                </c:pt>
                <c:pt idx="981">
                  <c:v>98.3</c:v>
                </c:pt>
                <c:pt idx="982">
                  <c:v>98.4</c:v>
                </c:pt>
                <c:pt idx="983">
                  <c:v>98.5</c:v>
                </c:pt>
                <c:pt idx="984">
                  <c:v>98.6</c:v>
                </c:pt>
                <c:pt idx="985">
                  <c:v>98.7</c:v>
                </c:pt>
                <c:pt idx="986">
                  <c:v>98.8</c:v>
                </c:pt>
                <c:pt idx="987">
                  <c:v>98.9</c:v>
                </c:pt>
                <c:pt idx="988">
                  <c:v>99</c:v>
                </c:pt>
                <c:pt idx="989">
                  <c:v>99.1</c:v>
                </c:pt>
                <c:pt idx="990">
                  <c:v>99.2</c:v>
                </c:pt>
                <c:pt idx="991">
                  <c:v>99.3</c:v>
                </c:pt>
                <c:pt idx="992">
                  <c:v>99.4</c:v>
                </c:pt>
                <c:pt idx="993">
                  <c:v>99.5</c:v>
                </c:pt>
                <c:pt idx="994">
                  <c:v>99.6</c:v>
                </c:pt>
                <c:pt idx="995">
                  <c:v>99.7</c:v>
                </c:pt>
                <c:pt idx="996">
                  <c:v>99.8</c:v>
                </c:pt>
                <c:pt idx="997">
                  <c:v>99.9</c:v>
                </c:pt>
                <c:pt idx="998">
                  <c:v>100</c:v>
                </c:pt>
                <c:pt idx="999">
                  <c:v>100.1</c:v>
                </c:pt>
              </c:numCache>
            </c:numRef>
          </c:xVal>
          <c:yVal>
            <c:numRef>
              <c:f>Sheet1!$B$2:$B$1001</c:f>
              <c:numCache>
                <c:formatCode>General</c:formatCode>
                <c:ptCount val="1000"/>
                <c:pt idx="0">
                  <c:v>34.799999999999997</c:v>
                </c:pt>
                <c:pt idx="1">
                  <c:v>34.79</c:v>
                </c:pt>
                <c:pt idx="2">
                  <c:v>34.840000000000003</c:v>
                </c:pt>
                <c:pt idx="3">
                  <c:v>34.880000000000003</c:v>
                </c:pt>
                <c:pt idx="4">
                  <c:v>35.01</c:v>
                </c:pt>
                <c:pt idx="5">
                  <c:v>35.159999999999997</c:v>
                </c:pt>
                <c:pt idx="6">
                  <c:v>35.380000000000003</c:v>
                </c:pt>
                <c:pt idx="7">
                  <c:v>35.630000000000003</c:v>
                </c:pt>
                <c:pt idx="8">
                  <c:v>35.94</c:v>
                </c:pt>
                <c:pt idx="9">
                  <c:v>36.24</c:v>
                </c:pt>
                <c:pt idx="10">
                  <c:v>36.58</c:v>
                </c:pt>
                <c:pt idx="11">
                  <c:v>36.93</c:v>
                </c:pt>
                <c:pt idx="12">
                  <c:v>37.299999999999997</c:v>
                </c:pt>
                <c:pt idx="13">
                  <c:v>37.68</c:v>
                </c:pt>
                <c:pt idx="14">
                  <c:v>38.11</c:v>
                </c:pt>
                <c:pt idx="15">
                  <c:v>38.51</c:v>
                </c:pt>
                <c:pt idx="16">
                  <c:v>38.92</c:v>
                </c:pt>
                <c:pt idx="17">
                  <c:v>39.31</c:v>
                </c:pt>
                <c:pt idx="18">
                  <c:v>39.69</c:v>
                </c:pt>
                <c:pt idx="19">
                  <c:v>40.130000000000003</c:v>
                </c:pt>
                <c:pt idx="20">
                  <c:v>40.51</c:v>
                </c:pt>
                <c:pt idx="21">
                  <c:v>40.86</c:v>
                </c:pt>
                <c:pt idx="22">
                  <c:v>41.28</c:v>
                </c:pt>
                <c:pt idx="23">
                  <c:v>41.61</c:v>
                </c:pt>
                <c:pt idx="24">
                  <c:v>41.98</c:v>
                </c:pt>
                <c:pt idx="25">
                  <c:v>42.3</c:v>
                </c:pt>
                <c:pt idx="26">
                  <c:v>42.66</c:v>
                </c:pt>
                <c:pt idx="27">
                  <c:v>42.98</c:v>
                </c:pt>
                <c:pt idx="28">
                  <c:v>43.31</c:v>
                </c:pt>
                <c:pt idx="29">
                  <c:v>43.61</c:v>
                </c:pt>
                <c:pt idx="30">
                  <c:v>43.92</c:v>
                </c:pt>
                <c:pt idx="31">
                  <c:v>44.23</c:v>
                </c:pt>
                <c:pt idx="32">
                  <c:v>44.48</c:v>
                </c:pt>
                <c:pt idx="33">
                  <c:v>44.75</c:v>
                </c:pt>
                <c:pt idx="34">
                  <c:v>44.97</c:v>
                </c:pt>
                <c:pt idx="35">
                  <c:v>45.3</c:v>
                </c:pt>
                <c:pt idx="36">
                  <c:v>45.53</c:v>
                </c:pt>
                <c:pt idx="37">
                  <c:v>45.75</c:v>
                </c:pt>
                <c:pt idx="38">
                  <c:v>46</c:v>
                </c:pt>
                <c:pt idx="39">
                  <c:v>46.19</c:v>
                </c:pt>
                <c:pt idx="40">
                  <c:v>46.4</c:v>
                </c:pt>
                <c:pt idx="41">
                  <c:v>46.59</c:v>
                </c:pt>
                <c:pt idx="42">
                  <c:v>46.71</c:v>
                </c:pt>
                <c:pt idx="43">
                  <c:v>46.84</c:v>
                </c:pt>
                <c:pt idx="44">
                  <c:v>46.93</c:v>
                </c:pt>
                <c:pt idx="45">
                  <c:v>47.02</c:v>
                </c:pt>
                <c:pt idx="46">
                  <c:v>47.15</c:v>
                </c:pt>
                <c:pt idx="47">
                  <c:v>47.2</c:v>
                </c:pt>
                <c:pt idx="48">
                  <c:v>47.33</c:v>
                </c:pt>
                <c:pt idx="49">
                  <c:v>47.48</c:v>
                </c:pt>
                <c:pt idx="50">
                  <c:v>47.61</c:v>
                </c:pt>
                <c:pt idx="51">
                  <c:v>47.7</c:v>
                </c:pt>
                <c:pt idx="52">
                  <c:v>47.88</c:v>
                </c:pt>
                <c:pt idx="53">
                  <c:v>47.96</c:v>
                </c:pt>
                <c:pt idx="54">
                  <c:v>48.1</c:v>
                </c:pt>
                <c:pt idx="55">
                  <c:v>48.21</c:v>
                </c:pt>
                <c:pt idx="56">
                  <c:v>48.32</c:v>
                </c:pt>
                <c:pt idx="57">
                  <c:v>48.45</c:v>
                </c:pt>
                <c:pt idx="58">
                  <c:v>48.52</c:v>
                </c:pt>
                <c:pt idx="59">
                  <c:v>48.6</c:v>
                </c:pt>
                <c:pt idx="60">
                  <c:v>48.73</c:v>
                </c:pt>
                <c:pt idx="61">
                  <c:v>48.85</c:v>
                </c:pt>
                <c:pt idx="62">
                  <c:v>48.94</c:v>
                </c:pt>
                <c:pt idx="63">
                  <c:v>49.04</c:v>
                </c:pt>
                <c:pt idx="64">
                  <c:v>49.13</c:v>
                </c:pt>
                <c:pt idx="65">
                  <c:v>49.21</c:v>
                </c:pt>
                <c:pt idx="66">
                  <c:v>49.26</c:v>
                </c:pt>
                <c:pt idx="67">
                  <c:v>49.35</c:v>
                </c:pt>
                <c:pt idx="68">
                  <c:v>49.42</c:v>
                </c:pt>
                <c:pt idx="69">
                  <c:v>49.49</c:v>
                </c:pt>
                <c:pt idx="70">
                  <c:v>49.55</c:v>
                </c:pt>
                <c:pt idx="71">
                  <c:v>49.59</c:v>
                </c:pt>
                <c:pt idx="72">
                  <c:v>49.66</c:v>
                </c:pt>
                <c:pt idx="73">
                  <c:v>49.68</c:v>
                </c:pt>
                <c:pt idx="74">
                  <c:v>49.75</c:v>
                </c:pt>
                <c:pt idx="75">
                  <c:v>49.82</c:v>
                </c:pt>
                <c:pt idx="76">
                  <c:v>49.85</c:v>
                </c:pt>
                <c:pt idx="77">
                  <c:v>49.91</c:v>
                </c:pt>
                <c:pt idx="78">
                  <c:v>49.97</c:v>
                </c:pt>
                <c:pt idx="79">
                  <c:v>50.02</c:v>
                </c:pt>
                <c:pt idx="80">
                  <c:v>50.02</c:v>
                </c:pt>
                <c:pt idx="81">
                  <c:v>50.08</c:v>
                </c:pt>
                <c:pt idx="82">
                  <c:v>50.12</c:v>
                </c:pt>
                <c:pt idx="83">
                  <c:v>50.16</c:v>
                </c:pt>
                <c:pt idx="84">
                  <c:v>50.18</c:v>
                </c:pt>
                <c:pt idx="85">
                  <c:v>50.21</c:v>
                </c:pt>
                <c:pt idx="86">
                  <c:v>50.24</c:v>
                </c:pt>
                <c:pt idx="87">
                  <c:v>50.26</c:v>
                </c:pt>
                <c:pt idx="88">
                  <c:v>50.29</c:v>
                </c:pt>
                <c:pt idx="89">
                  <c:v>50.33</c:v>
                </c:pt>
                <c:pt idx="90">
                  <c:v>50.33</c:v>
                </c:pt>
                <c:pt idx="91">
                  <c:v>50.36</c:v>
                </c:pt>
                <c:pt idx="92">
                  <c:v>50.37</c:v>
                </c:pt>
                <c:pt idx="93">
                  <c:v>50.41</c:v>
                </c:pt>
                <c:pt idx="94">
                  <c:v>50.39</c:v>
                </c:pt>
                <c:pt idx="95">
                  <c:v>50.36</c:v>
                </c:pt>
                <c:pt idx="96">
                  <c:v>50.43</c:v>
                </c:pt>
                <c:pt idx="97">
                  <c:v>50.47</c:v>
                </c:pt>
                <c:pt idx="98">
                  <c:v>50.5</c:v>
                </c:pt>
                <c:pt idx="99">
                  <c:v>50.52</c:v>
                </c:pt>
                <c:pt idx="100">
                  <c:v>50.48</c:v>
                </c:pt>
                <c:pt idx="101">
                  <c:v>50.52</c:v>
                </c:pt>
                <c:pt idx="102">
                  <c:v>50.53</c:v>
                </c:pt>
                <c:pt idx="103">
                  <c:v>50.51</c:v>
                </c:pt>
                <c:pt idx="104">
                  <c:v>50.5</c:v>
                </c:pt>
                <c:pt idx="105">
                  <c:v>50.5</c:v>
                </c:pt>
                <c:pt idx="106">
                  <c:v>50.54</c:v>
                </c:pt>
                <c:pt idx="107">
                  <c:v>50.5</c:v>
                </c:pt>
                <c:pt idx="108">
                  <c:v>50.52</c:v>
                </c:pt>
                <c:pt idx="109">
                  <c:v>50.52</c:v>
                </c:pt>
                <c:pt idx="110">
                  <c:v>50.53</c:v>
                </c:pt>
                <c:pt idx="111">
                  <c:v>50.59</c:v>
                </c:pt>
                <c:pt idx="112">
                  <c:v>50.56</c:v>
                </c:pt>
                <c:pt idx="113">
                  <c:v>50.55</c:v>
                </c:pt>
                <c:pt idx="114">
                  <c:v>50.55</c:v>
                </c:pt>
                <c:pt idx="115">
                  <c:v>50.56</c:v>
                </c:pt>
                <c:pt idx="116">
                  <c:v>50.52</c:v>
                </c:pt>
                <c:pt idx="117">
                  <c:v>50.51</c:v>
                </c:pt>
                <c:pt idx="118">
                  <c:v>50.54</c:v>
                </c:pt>
                <c:pt idx="119">
                  <c:v>50.52</c:v>
                </c:pt>
                <c:pt idx="120">
                  <c:v>50.55</c:v>
                </c:pt>
                <c:pt idx="121">
                  <c:v>50.52</c:v>
                </c:pt>
                <c:pt idx="122">
                  <c:v>50.56</c:v>
                </c:pt>
                <c:pt idx="123">
                  <c:v>50.54</c:v>
                </c:pt>
                <c:pt idx="124">
                  <c:v>50.54</c:v>
                </c:pt>
                <c:pt idx="125">
                  <c:v>50.5</c:v>
                </c:pt>
                <c:pt idx="126">
                  <c:v>50.52</c:v>
                </c:pt>
                <c:pt idx="127">
                  <c:v>50.54</c:v>
                </c:pt>
                <c:pt idx="128">
                  <c:v>50.51</c:v>
                </c:pt>
                <c:pt idx="129">
                  <c:v>50.53</c:v>
                </c:pt>
                <c:pt idx="130">
                  <c:v>50.56</c:v>
                </c:pt>
                <c:pt idx="131">
                  <c:v>50.52</c:v>
                </c:pt>
                <c:pt idx="132">
                  <c:v>50.5</c:v>
                </c:pt>
                <c:pt idx="133">
                  <c:v>50.51</c:v>
                </c:pt>
                <c:pt idx="134">
                  <c:v>50.5</c:v>
                </c:pt>
                <c:pt idx="135">
                  <c:v>50.45</c:v>
                </c:pt>
                <c:pt idx="136">
                  <c:v>50.49</c:v>
                </c:pt>
                <c:pt idx="137">
                  <c:v>50.48</c:v>
                </c:pt>
                <c:pt idx="138">
                  <c:v>50.49</c:v>
                </c:pt>
                <c:pt idx="139">
                  <c:v>50.46</c:v>
                </c:pt>
                <c:pt idx="140">
                  <c:v>50.46</c:v>
                </c:pt>
                <c:pt idx="141">
                  <c:v>50.47</c:v>
                </c:pt>
                <c:pt idx="142">
                  <c:v>50.46</c:v>
                </c:pt>
                <c:pt idx="143">
                  <c:v>50.47</c:v>
                </c:pt>
                <c:pt idx="144">
                  <c:v>50.44</c:v>
                </c:pt>
                <c:pt idx="145">
                  <c:v>50.43</c:v>
                </c:pt>
                <c:pt idx="146">
                  <c:v>50.44</c:v>
                </c:pt>
                <c:pt idx="147">
                  <c:v>50.43</c:v>
                </c:pt>
                <c:pt idx="148">
                  <c:v>50.43</c:v>
                </c:pt>
                <c:pt idx="149">
                  <c:v>50.43</c:v>
                </c:pt>
                <c:pt idx="150">
                  <c:v>50.49</c:v>
                </c:pt>
                <c:pt idx="151">
                  <c:v>50.43</c:v>
                </c:pt>
                <c:pt idx="152">
                  <c:v>50.47</c:v>
                </c:pt>
                <c:pt idx="153">
                  <c:v>50.42</c:v>
                </c:pt>
                <c:pt idx="154">
                  <c:v>50.39</c:v>
                </c:pt>
                <c:pt idx="155">
                  <c:v>50.39</c:v>
                </c:pt>
                <c:pt idx="156">
                  <c:v>50.35</c:v>
                </c:pt>
                <c:pt idx="157">
                  <c:v>50.39</c:v>
                </c:pt>
                <c:pt idx="158">
                  <c:v>50.35</c:v>
                </c:pt>
                <c:pt idx="159">
                  <c:v>50.42</c:v>
                </c:pt>
                <c:pt idx="160">
                  <c:v>50.38</c:v>
                </c:pt>
                <c:pt idx="161">
                  <c:v>50.37</c:v>
                </c:pt>
                <c:pt idx="162">
                  <c:v>50.37</c:v>
                </c:pt>
                <c:pt idx="163">
                  <c:v>50.36</c:v>
                </c:pt>
                <c:pt idx="164">
                  <c:v>50.35</c:v>
                </c:pt>
                <c:pt idx="165">
                  <c:v>50.33</c:v>
                </c:pt>
                <c:pt idx="166">
                  <c:v>50.34</c:v>
                </c:pt>
                <c:pt idx="167">
                  <c:v>50.37</c:v>
                </c:pt>
                <c:pt idx="168">
                  <c:v>50.37</c:v>
                </c:pt>
                <c:pt idx="169">
                  <c:v>50.29</c:v>
                </c:pt>
                <c:pt idx="170">
                  <c:v>50.34</c:v>
                </c:pt>
                <c:pt idx="171">
                  <c:v>50.26</c:v>
                </c:pt>
                <c:pt idx="172">
                  <c:v>50.29</c:v>
                </c:pt>
                <c:pt idx="173">
                  <c:v>50.31</c:v>
                </c:pt>
                <c:pt idx="174">
                  <c:v>50.29</c:v>
                </c:pt>
                <c:pt idx="175">
                  <c:v>50.29</c:v>
                </c:pt>
                <c:pt idx="176">
                  <c:v>50.28</c:v>
                </c:pt>
                <c:pt idx="177">
                  <c:v>50.22</c:v>
                </c:pt>
                <c:pt idx="178">
                  <c:v>50.25</c:v>
                </c:pt>
                <c:pt idx="179">
                  <c:v>50.29</c:v>
                </c:pt>
                <c:pt idx="180">
                  <c:v>50.22</c:v>
                </c:pt>
                <c:pt idx="181">
                  <c:v>50.25</c:v>
                </c:pt>
                <c:pt idx="182">
                  <c:v>50.26</c:v>
                </c:pt>
                <c:pt idx="183">
                  <c:v>50.19</c:v>
                </c:pt>
                <c:pt idx="184">
                  <c:v>50.23</c:v>
                </c:pt>
                <c:pt idx="185">
                  <c:v>50.23</c:v>
                </c:pt>
                <c:pt idx="186">
                  <c:v>50.22</c:v>
                </c:pt>
                <c:pt idx="187">
                  <c:v>50.18</c:v>
                </c:pt>
                <c:pt idx="188">
                  <c:v>50.2</c:v>
                </c:pt>
                <c:pt idx="189">
                  <c:v>50.2</c:v>
                </c:pt>
                <c:pt idx="190">
                  <c:v>50.2</c:v>
                </c:pt>
                <c:pt idx="191">
                  <c:v>50.19</c:v>
                </c:pt>
                <c:pt idx="192">
                  <c:v>50.2</c:v>
                </c:pt>
                <c:pt idx="193">
                  <c:v>50.18</c:v>
                </c:pt>
                <c:pt idx="194">
                  <c:v>50.19</c:v>
                </c:pt>
                <c:pt idx="195">
                  <c:v>50.2</c:v>
                </c:pt>
                <c:pt idx="196">
                  <c:v>50.18</c:v>
                </c:pt>
                <c:pt idx="197">
                  <c:v>50.18</c:v>
                </c:pt>
                <c:pt idx="198">
                  <c:v>50.17</c:v>
                </c:pt>
                <c:pt idx="199">
                  <c:v>50.18</c:v>
                </c:pt>
                <c:pt idx="200">
                  <c:v>50.23</c:v>
                </c:pt>
                <c:pt idx="201">
                  <c:v>50.17</c:v>
                </c:pt>
                <c:pt idx="202">
                  <c:v>50.17</c:v>
                </c:pt>
                <c:pt idx="203">
                  <c:v>50.16</c:v>
                </c:pt>
                <c:pt idx="204">
                  <c:v>50.2</c:v>
                </c:pt>
                <c:pt idx="205">
                  <c:v>50.12</c:v>
                </c:pt>
                <c:pt idx="206">
                  <c:v>50.14</c:v>
                </c:pt>
                <c:pt idx="207">
                  <c:v>50.16</c:v>
                </c:pt>
                <c:pt idx="208">
                  <c:v>50.13</c:v>
                </c:pt>
                <c:pt idx="209">
                  <c:v>50.15</c:v>
                </c:pt>
                <c:pt idx="210">
                  <c:v>50.13</c:v>
                </c:pt>
                <c:pt idx="211">
                  <c:v>50.14</c:v>
                </c:pt>
                <c:pt idx="212">
                  <c:v>50.11</c:v>
                </c:pt>
                <c:pt idx="213">
                  <c:v>50.12</c:v>
                </c:pt>
                <c:pt idx="214">
                  <c:v>50.14</c:v>
                </c:pt>
                <c:pt idx="215">
                  <c:v>50.1</c:v>
                </c:pt>
                <c:pt idx="216">
                  <c:v>50.13</c:v>
                </c:pt>
                <c:pt idx="217">
                  <c:v>50.11</c:v>
                </c:pt>
                <c:pt idx="218">
                  <c:v>50.16</c:v>
                </c:pt>
                <c:pt idx="219">
                  <c:v>50.1</c:v>
                </c:pt>
                <c:pt idx="220">
                  <c:v>50.09</c:v>
                </c:pt>
                <c:pt idx="221">
                  <c:v>50.12</c:v>
                </c:pt>
                <c:pt idx="222">
                  <c:v>50.08</c:v>
                </c:pt>
                <c:pt idx="223">
                  <c:v>50.14</c:v>
                </c:pt>
                <c:pt idx="224">
                  <c:v>50.1</c:v>
                </c:pt>
                <c:pt idx="225">
                  <c:v>50.08</c:v>
                </c:pt>
                <c:pt idx="226">
                  <c:v>50.09</c:v>
                </c:pt>
                <c:pt idx="227">
                  <c:v>50.13</c:v>
                </c:pt>
                <c:pt idx="228">
                  <c:v>50.08</c:v>
                </c:pt>
                <c:pt idx="229">
                  <c:v>50.09</c:v>
                </c:pt>
                <c:pt idx="230">
                  <c:v>50.1</c:v>
                </c:pt>
                <c:pt idx="231">
                  <c:v>50.08</c:v>
                </c:pt>
                <c:pt idx="232">
                  <c:v>50.06</c:v>
                </c:pt>
                <c:pt idx="233">
                  <c:v>50.06</c:v>
                </c:pt>
                <c:pt idx="234">
                  <c:v>50.07</c:v>
                </c:pt>
                <c:pt idx="235">
                  <c:v>50.08</c:v>
                </c:pt>
                <c:pt idx="236">
                  <c:v>50.07</c:v>
                </c:pt>
                <c:pt idx="237">
                  <c:v>50.04</c:v>
                </c:pt>
                <c:pt idx="238">
                  <c:v>50.05</c:v>
                </c:pt>
                <c:pt idx="239">
                  <c:v>50.06</c:v>
                </c:pt>
                <c:pt idx="240">
                  <c:v>50.05</c:v>
                </c:pt>
                <c:pt idx="241">
                  <c:v>50.06</c:v>
                </c:pt>
                <c:pt idx="242">
                  <c:v>50</c:v>
                </c:pt>
                <c:pt idx="243">
                  <c:v>50.03</c:v>
                </c:pt>
                <c:pt idx="244">
                  <c:v>50.04</c:v>
                </c:pt>
                <c:pt idx="245">
                  <c:v>50</c:v>
                </c:pt>
                <c:pt idx="246">
                  <c:v>49.98</c:v>
                </c:pt>
                <c:pt idx="247">
                  <c:v>50.02</c:v>
                </c:pt>
                <c:pt idx="248">
                  <c:v>50.01</c:v>
                </c:pt>
                <c:pt idx="249">
                  <c:v>50</c:v>
                </c:pt>
                <c:pt idx="250">
                  <c:v>50</c:v>
                </c:pt>
                <c:pt idx="251">
                  <c:v>49.99</c:v>
                </c:pt>
                <c:pt idx="252">
                  <c:v>49.99</c:v>
                </c:pt>
                <c:pt idx="253">
                  <c:v>49.99</c:v>
                </c:pt>
                <c:pt idx="254">
                  <c:v>50</c:v>
                </c:pt>
                <c:pt idx="255">
                  <c:v>50.01</c:v>
                </c:pt>
                <c:pt idx="256">
                  <c:v>49.99</c:v>
                </c:pt>
                <c:pt idx="257">
                  <c:v>49.96</c:v>
                </c:pt>
                <c:pt idx="258">
                  <c:v>49.98</c:v>
                </c:pt>
                <c:pt idx="259">
                  <c:v>49.93</c:v>
                </c:pt>
                <c:pt idx="260">
                  <c:v>49.98</c:v>
                </c:pt>
                <c:pt idx="261">
                  <c:v>49.94</c:v>
                </c:pt>
                <c:pt idx="262">
                  <c:v>49.91</c:v>
                </c:pt>
                <c:pt idx="263">
                  <c:v>49.94</c:v>
                </c:pt>
                <c:pt idx="264">
                  <c:v>49.93</c:v>
                </c:pt>
                <c:pt idx="265">
                  <c:v>49.91</c:v>
                </c:pt>
                <c:pt idx="266">
                  <c:v>49.93</c:v>
                </c:pt>
                <c:pt idx="267">
                  <c:v>49.92</c:v>
                </c:pt>
                <c:pt idx="268">
                  <c:v>49.96</c:v>
                </c:pt>
                <c:pt idx="269">
                  <c:v>49.91</c:v>
                </c:pt>
                <c:pt idx="270">
                  <c:v>49.92</c:v>
                </c:pt>
                <c:pt idx="271">
                  <c:v>49.93</c:v>
                </c:pt>
                <c:pt idx="272">
                  <c:v>49.89</c:v>
                </c:pt>
                <c:pt idx="273">
                  <c:v>49.89</c:v>
                </c:pt>
                <c:pt idx="274">
                  <c:v>49.92</c:v>
                </c:pt>
                <c:pt idx="275">
                  <c:v>49.93</c:v>
                </c:pt>
                <c:pt idx="276">
                  <c:v>49.91</c:v>
                </c:pt>
                <c:pt idx="277">
                  <c:v>49.89</c:v>
                </c:pt>
                <c:pt idx="278">
                  <c:v>49.93</c:v>
                </c:pt>
                <c:pt idx="279">
                  <c:v>49.9</c:v>
                </c:pt>
                <c:pt idx="280">
                  <c:v>49.88</c:v>
                </c:pt>
                <c:pt idx="281">
                  <c:v>49.9</c:v>
                </c:pt>
                <c:pt idx="282">
                  <c:v>49.97</c:v>
                </c:pt>
                <c:pt idx="283">
                  <c:v>49.87</c:v>
                </c:pt>
                <c:pt idx="284">
                  <c:v>49.92</c:v>
                </c:pt>
                <c:pt idx="285">
                  <c:v>49.9</c:v>
                </c:pt>
                <c:pt idx="286">
                  <c:v>49.88</c:v>
                </c:pt>
                <c:pt idx="287">
                  <c:v>49.91</c:v>
                </c:pt>
                <c:pt idx="288">
                  <c:v>49.94</c:v>
                </c:pt>
                <c:pt idx="289">
                  <c:v>49.9</c:v>
                </c:pt>
                <c:pt idx="290">
                  <c:v>49.89</c:v>
                </c:pt>
                <c:pt idx="291">
                  <c:v>49.91</c:v>
                </c:pt>
                <c:pt idx="292">
                  <c:v>49.98</c:v>
                </c:pt>
                <c:pt idx="293">
                  <c:v>49.95</c:v>
                </c:pt>
                <c:pt idx="294">
                  <c:v>49.95</c:v>
                </c:pt>
                <c:pt idx="295">
                  <c:v>49.91</c:v>
                </c:pt>
                <c:pt idx="296">
                  <c:v>49.92</c:v>
                </c:pt>
                <c:pt idx="297">
                  <c:v>49.97</c:v>
                </c:pt>
                <c:pt idx="298">
                  <c:v>49.94</c:v>
                </c:pt>
                <c:pt idx="299">
                  <c:v>49.95</c:v>
                </c:pt>
                <c:pt idx="300">
                  <c:v>49.92</c:v>
                </c:pt>
                <c:pt idx="301">
                  <c:v>49.92</c:v>
                </c:pt>
                <c:pt idx="302">
                  <c:v>49.89</c:v>
                </c:pt>
                <c:pt idx="303">
                  <c:v>49.93</c:v>
                </c:pt>
                <c:pt idx="304">
                  <c:v>49.93</c:v>
                </c:pt>
                <c:pt idx="305">
                  <c:v>49.94</c:v>
                </c:pt>
                <c:pt idx="306">
                  <c:v>49.93</c:v>
                </c:pt>
                <c:pt idx="307">
                  <c:v>49.9</c:v>
                </c:pt>
                <c:pt idx="308">
                  <c:v>49.93</c:v>
                </c:pt>
                <c:pt idx="309">
                  <c:v>49.96</c:v>
                </c:pt>
                <c:pt idx="310">
                  <c:v>49.94</c:v>
                </c:pt>
                <c:pt idx="311">
                  <c:v>49.93</c:v>
                </c:pt>
                <c:pt idx="312">
                  <c:v>49.94</c:v>
                </c:pt>
                <c:pt idx="313">
                  <c:v>49.95</c:v>
                </c:pt>
                <c:pt idx="314">
                  <c:v>49.91</c:v>
                </c:pt>
                <c:pt idx="315">
                  <c:v>49.96</c:v>
                </c:pt>
                <c:pt idx="316">
                  <c:v>49.95</c:v>
                </c:pt>
                <c:pt idx="317">
                  <c:v>49.91</c:v>
                </c:pt>
                <c:pt idx="318">
                  <c:v>49.94</c:v>
                </c:pt>
                <c:pt idx="319">
                  <c:v>49.97</c:v>
                </c:pt>
                <c:pt idx="320">
                  <c:v>49.91</c:v>
                </c:pt>
                <c:pt idx="321">
                  <c:v>49.96</c:v>
                </c:pt>
                <c:pt idx="322">
                  <c:v>49.98</c:v>
                </c:pt>
                <c:pt idx="323">
                  <c:v>49.98</c:v>
                </c:pt>
                <c:pt idx="324">
                  <c:v>49.96</c:v>
                </c:pt>
                <c:pt idx="325">
                  <c:v>49.97</c:v>
                </c:pt>
                <c:pt idx="326">
                  <c:v>49.97</c:v>
                </c:pt>
                <c:pt idx="327">
                  <c:v>49.99</c:v>
                </c:pt>
                <c:pt idx="328">
                  <c:v>49.96</c:v>
                </c:pt>
                <c:pt idx="329">
                  <c:v>49.98</c:v>
                </c:pt>
                <c:pt idx="330">
                  <c:v>50.64</c:v>
                </c:pt>
                <c:pt idx="331">
                  <c:v>50.04</c:v>
                </c:pt>
                <c:pt idx="332">
                  <c:v>50.69</c:v>
                </c:pt>
                <c:pt idx="333">
                  <c:v>50.11</c:v>
                </c:pt>
                <c:pt idx="334">
                  <c:v>50.97</c:v>
                </c:pt>
                <c:pt idx="335">
                  <c:v>50.47</c:v>
                </c:pt>
                <c:pt idx="336">
                  <c:v>51.37</c:v>
                </c:pt>
                <c:pt idx="337">
                  <c:v>50.99</c:v>
                </c:pt>
                <c:pt idx="338">
                  <c:v>51.91</c:v>
                </c:pt>
                <c:pt idx="339">
                  <c:v>51.64</c:v>
                </c:pt>
                <c:pt idx="340">
                  <c:v>52.37</c:v>
                </c:pt>
                <c:pt idx="341">
                  <c:v>52.29</c:v>
                </c:pt>
                <c:pt idx="342">
                  <c:v>52.76</c:v>
                </c:pt>
                <c:pt idx="343">
                  <c:v>53.13</c:v>
                </c:pt>
                <c:pt idx="344">
                  <c:v>53.51</c:v>
                </c:pt>
                <c:pt idx="345">
                  <c:v>53.85</c:v>
                </c:pt>
                <c:pt idx="346">
                  <c:v>54.26</c:v>
                </c:pt>
                <c:pt idx="347">
                  <c:v>54.68</c:v>
                </c:pt>
                <c:pt idx="348">
                  <c:v>55.06</c:v>
                </c:pt>
                <c:pt idx="349">
                  <c:v>55.47</c:v>
                </c:pt>
                <c:pt idx="350">
                  <c:v>55.8</c:v>
                </c:pt>
                <c:pt idx="351">
                  <c:v>56.23</c:v>
                </c:pt>
                <c:pt idx="352">
                  <c:v>56.53</c:v>
                </c:pt>
                <c:pt idx="353">
                  <c:v>56.89</c:v>
                </c:pt>
                <c:pt idx="354">
                  <c:v>57.24</c:v>
                </c:pt>
                <c:pt idx="355">
                  <c:v>57.57</c:v>
                </c:pt>
                <c:pt idx="356">
                  <c:v>57.89</c:v>
                </c:pt>
                <c:pt idx="357">
                  <c:v>58.22</c:v>
                </c:pt>
                <c:pt idx="358">
                  <c:v>58.53</c:v>
                </c:pt>
                <c:pt idx="359">
                  <c:v>58.77</c:v>
                </c:pt>
                <c:pt idx="360">
                  <c:v>59.06</c:v>
                </c:pt>
                <c:pt idx="361">
                  <c:v>59.36</c:v>
                </c:pt>
                <c:pt idx="362">
                  <c:v>59.63</c:v>
                </c:pt>
                <c:pt idx="363">
                  <c:v>59.86</c:v>
                </c:pt>
                <c:pt idx="364">
                  <c:v>60.14</c:v>
                </c:pt>
                <c:pt idx="365">
                  <c:v>60.41</c:v>
                </c:pt>
                <c:pt idx="366">
                  <c:v>60.61</c:v>
                </c:pt>
                <c:pt idx="367">
                  <c:v>60.86</c:v>
                </c:pt>
                <c:pt idx="368">
                  <c:v>61.11</c:v>
                </c:pt>
                <c:pt idx="369">
                  <c:v>61.35</c:v>
                </c:pt>
                <c:pt idx="370">
                  <c:v>61.54</c:v>
                </c:pt>
                <c:pt idx="371">
                  <c:v>61.77</c:v>
                </c:pt>
                <c:pt idx="372">
                  <c:v>61.94</c:v>
                </c:pt>
                <c:pt idx="373">
                  <c:v>62.14</c:v>
                </c:pt>
                <c:pt idx="374">
                  <c:v>62.36</c:v>
                </c:pt>
                <c:pt idx="375">
                  <c:v>62.52</c:v>
                </c:pt>
                <c:pt idx="376">
                  <c:v>62.71</c:v>
                </c:pt>
                <c:pt idx="377">
                  <c:v>62.82</c:v>
                </c:pt>
                <c:pt idx="378">
                  <c:v>63.05</c:v>
                </c:pt>
                <c:pt idx="379">
                  <c:v>63.24</c:v>
                </c:pt>
                <c:pt idx="380">
                  <c:v>63.36</c:v>
                </c:pt>
                <c:pt idx="381">
                  <c:v>63.56</c:v>
                </c:pt>
                <c:pt idx="382">
                  <c:v>63.67</c:v>
                </c:pt>
                <c:pt idx="383">
                  <c:v>63.85</c:v>
                </c:pt>
                <c:pt idx="384">
                  <c:v>63.96</c:v>
                </c:pt>
                <c:pt idx="385">
                  <c:v>64.010000000000005</c:v>
                </c:pt>
                <c:pt idx="386">
                  <c:v>64.209999999999994</c:v>
                </c:pt>
                <c:pt idx="387">
                  <c:v>64.36</c:v>
                </c:pt>
                <c:pt idx="388">
                  <c:v>64.47</c:v>
                </c:pt>
                <c:pt idx="389">
                  <c:v>64.61</c:v>
                </c:pt>
                <c:pt idx="390">
                  <c:v>64.739999999999995</c:v>
                </c:pt>
                <c:pt idx="391">
                  <c:v>64.94</c:v>
                </c:pt>
                <c:pt idx="392">
                  <c:v>65.040000000000006</c:v>
                </c:pt>
                <c:pt idx="393">
                  <c:v>65.16</c:v>
                </c:pt>
                <c:pt idx="394">
                  <c:v>65.27</c:v>
                </c:pt>
                <c:pt idx="395">
                  <c:v>65.430000000000007</c:v>
                </c:pt>
                <c:pt idx="396">
                  <c:v>65.510000000000005</c:v>
                </c:pt>
                <c:pt idx="397">
                  <c:v>65.599999999999994</c:v>
                </c:pt>
                <c:pt idx="398">
                  <c:v>65.73</c:v>
                </c:pt>
                <c:pt idx="399">
                  <c:v>65.900000000000006</c:v>
                </c:pt>
                <c:pt idx="400">
                  <c:v>65.959999999999994</c:v>
                </c:pt>
                <c:pt idx="401">
                  <c:v>66.06</c:v>
                </c:pt>
                <c:pt idx="402">
                  <c:v>66.14</c:v>
                </c:pt>
                <c:pt idx="403">
                  <c:v>66.16</c:v>
                </c:pt>
                <c:pt idx="404">
                  <c:v>66.23</c:v>
                </c:pt>
                <c:pt idx="405">
                  <c:v>66.31</c:v>
                </c:pt>
                <c:pt idx="406">
                  <c:v>66.37</c:v>
                </c:pt>
                <c:pt idx="407">
                  <c:v>66.38</c:v>
                </c:pt>
                <c:pt idx="408">
                  <c:v>66.430000000000007</c:v>
                </c:pt>
                <c:pt idx="409">
                  <c:v>66.48</c:v>
                </c:pt>
                <c:pt idx="410">
                  <c:v>66.430000000000007</c:v>
                </c:pt>
                <c:pt idx="411">
                  <c:v>66.510000000000005</c:v>
                </c:pt>
                <c:pt idx="412">
                  <c:v>66.53</c:v>
                </c:pt>
                <c:pt idx="413">
                  <c:v>66.53</c:v>
                </c:pt>
                <c:pt idx="414">
                  <c:v>66.59</c:v>
                </c:pt>
                <c:pt idx="415">
                  <c:v>66.58</c:v>
                </c:pt>
                <c:pt idx="416">
                  <c:v>66.569999999999993</c:v>
                </c:pt>
                <c:pt idx="417">
                  <c:v>66.59</c:v>
                </c:pt>
                <c:pt idx="418">
                  <c:v>66.599999999999994</c:v>
                </c:pt>
                <c:pt idx="419">
                  <c:v>66.62</c:v>
                </c:pt>
                <c:pt idx="420">
                  <c:v>66.61</c:v>
                </c:pt>
                <c:pt idx="421">
                  <c:v>66.64</c:v>
                </c:pt>
                <c:pt idx="422">
                  <c:v>66.62</c:v>
                </c:pt>
                <c:pt idx="423">
                  <c:v>66.64</c:v>
                </c:pt>
                <c:pt idx="424">
                  <c:v>66.63</c:v>
                </c:pt>
                <c:pt idx="425">
                  <c:v>66.64</c:v>
                </c:pt>
                <c:pt idx="426">
                  <c:v>66.64</c:v>
                </c:pt>
                <c:pt idx="427">
                  <c:v>66.64</c:v>
                </c:pt>
                <c:pt idx="428">
                  <c:v>66.63</c:v>
                </c:pt>
                <c:pt idx="429">
                  <c:v>66.650000000000006</c:v>
                </c:pt>
                <c:pt idx="430">
                  <c:v>66.62</c:v>
                </c:pt>
                <c:pt idx="431">
                  <c:v>66.599999999999994</c:v>
                </c:pt>
                <c:pt idx="432">
                  <c:v>66.599999999999994</c:v>
                </c:pt>
                <c:pt idx="433">
                  <c:v>66.62</c:v>
                </c:pt>
                <c:pt idx="434">
                  <c:v>66.61</c:v>
                </c:pt>
                <c:pt idx="435">
                  <c:v>66.61</c:v>
                </c:pt>
                <c:pt idx="436">
                  <c:v>66.59</c:v>
                </c:pt>
                <c:pt idx="437">
                  <c:v>66.58</c:v>
                </c:pt>
                <c:pt idx="438">
                  <c:v>66.58</c:v>
                </c:pt>
                <c:pt idx="439">
                  <c:v>66.56</c:v>
                </c:pt>
                <c:pt idx="440">
                  <c:v>66.540000000000006</c:v>
                </c:pt>
                <c:pt idx="441">
                  <c:v>66.55</c:v>
                </c:pt>
                <c:pt idx="442">
                  <c:v>66.540000000000006</c:v>
                </c:pt>
                <c:pt idx="443">
                  <c:v>66.53</c:v>
                </c:pt>
                <c:pt idx="444">
                  <c:v>66.52</c:v>
                </c:pt>
                <c:pt idx="445">
                  <c:v>66.489999999999995</c:v>
                </c:pt>
                <c:pt idx="446">
                  <c:v>66.489999999999995</c:v>
                </c:pt>
                <c:pt idx="447">
                  <c:v>66.489999999999995</c:v>
                </c:pt>
                <c:pt idx="448">
                  <c:v>66.47</c:v>
                </c:pt>
                <c:pt idx="449">
                  <c:v>66.47</c:v>
                </c:pt>
                <c:pt idx="450">
                  <c:v>66.41</c:v>
                </c:pt>
                <c:pt idx="451">
                  <c:v>66.430000000000007</c:v>
                </c:pt>
                <c:pt idx="452">
                  <c:v>66.45</c:v>
                </c:pt>
                <c:pt idx="453">
                  <c:v>66.41</c:v>
                </c:pt>
                <c:pt idx="454">
                  <c:v>66.38</c:v>
                </c:pt>
                <c:pt idx="455">
                  <c:v>66.37</c:v>
                </c:pt>
                <c:pt idx="456">
                  <c:v>66.319999999999993</c:v>
                </c:pt>
                <c:pt idx="457">
                  <c:v>66.3</c:v>
                </c:pt>
                <c:pt idx="458">
                  <c:v>66.319999999999993</c:v>
                </c:pt>
                <c:pt idx="459">
                  <c:v>66.290000000000006</c:v>
                </c:pt>
                <c:pt idx="460">
                  <c:v>66.28</c:v>
                </c:pt>
                <c:pt idx="461">
                  <c:v>66.27</c:v>
                </c:pt>
                <c:pt idx="462">
                  <c:v>66.25</c:v>
                </c:pt>
                <c:pt idx="463">
                  <c:v>66.19</c:v>
                </c:pt>
                <c:pt idx="464">
                  <c:v>66.22</c:v>
                </c:pt>
                <c:pt idx="465">
                  <c:v>66.2</c:v>
                </c:pt>
                <c:pt idx="466">
                  <c:v>66.2</c:v>
                </c:pt>
                <c:pt idx="467">
                  <c:v>66.14</c:v>
                </c:pt>
                <c:pt idx="468">
                  <c:v>66.13</c:v>
                </c:pt>
                <c:pt idx="469">
                  <c:v>66.099999999999994</c:v>
                </c:pt>
                <c:pt idx="470">
                  <c:v>66.05</c:v>
                </c:pt>
                <c:pt idx="471">
                  <c:v>66.040000000000006</c:v>
                </c:pt>
                <c:pt idx="472">
                  <c:v>66.010000000000005</c:v>
                </c:pt>
                <c:pt idx="473">
                  <c:v>65.97</c:v>
                </c:pt>
                <c:pt idx="474">
                  <c:v>65.98</c:v>
                </c:pt>
                <c:pt idx="475">
                  <c:v>65.98</c:v>
                </c:pt>
                <c:pt idx="476">
                  <c:v>65.95</c:v>
                </c:pt>
                <c:pt idx="477">
                  <c:v>65.930000000000007</c:v>
                </c:pt>
                <c:pt idx="478">
                  <c:v>65.930000000000007</c:v>
                </c:pt>
                <c:pt idx="479">
                  <c:v>65.92</c:v>
                </c:pt>
                <c:pt idx="480">
                  <c:v>65.92</c:v>
                </c:pt>
                <c:pt idx="481">
                  <c:v>65.88</c:v>
                </c:pt>
                <c:pt idx="482">
                  <c:v>65.83</c:v>
                </c:pt>
                <c:pt idx="483">
                  <c:v>65.86</c:v>
                </c:pt>
                <c:pt idx="484">
                  <c:v>65.790000000000006</c:v>
                </c:pt>
                <c:pt idx="485">
                  <c:v>65.819999999999993</c:v>
                </c:pt>
                <c:pt idx="486">
                  <c:v>65.83</c:v>
                </c:pt>
                <c:pt idx="487">
                  <c:v>65.81</c:v>
                </c:pt>
                <c:pt idx="488">
                  <c:v>65.81</c:v>
                </c:pt>
                <c:pt idx="489">
                  <c:v>65.790000000000006</c:v>
                </c:pt>
                <c:pt idx="490">
                  <c:v>65.790000000000006</c:v>
                </c:pt>
                <c:pt idx="491">
                  <c:v>65.77</c:v>
                </c:pt>
                <c:pt idx="492">
                  <c:v>65.760000000000005</c:v>
                </c:pt>
                <c:pt idx="493">
                  <c:v>65.75</c:v>
                </c:pt>
                <c:pt idx="494">
                  <c:v>65.760000000000005</c:v>
                </c:pt>
                <c:pt idx="495">
                  <c:v>65.739999999999995</c:v>
                </c:pt>
                <c:pt idx="496">
                  <c:v>65.739999999999995</c:v>
                </c:pt>
                <c:pt idx="497">
                  <c:v>65.72</c:v>
                </c:pt>
                <c:pt idx="498">
                  <c:v>65.69</c:v>
                </c:pt>
                <c:pt idx="499">
                  <c:v>65.69</c:v>
                </c:pt>
                <c:pt idx="500">
                  <c:v>65.680000000000007</c:v>
                </c:pt>
                <c:pt idx="501">
                  <c:v>65.67</c:v>
                </c:pt>
                <c:pt idx="502">
                  <c:v>65.63</c:v>
                </c:pt>
                <c:pt idx="503">
                  <c:v>65.680000000000007</c:v>
                </c:pt>
                <c:pt idx="504">
                  <c:v>65.62</c:v>
                </c:pt>
                <c:pt idx="505">
                  <c:v>65.64</c:v>
                </c:pt>
                <c:pt idx="506">
                  <c:v>65.64</c:v>
                </c:pt>
                <c:pt idx="507">
                  <c:v>65.599999999999994</c:v>
                </c:pt>
                <c:pt idx="508">
                  <c:v>65.680000000000007</c:v>
                </c:pt>
                <c:pt idx="509">
                  <c:v>65.59</c:v>
                </c:pt>
                <c:pt idx="510">
                  <c:v>65.599999999999994</c:v>
                </c:pt>
                <c:pt idx="511">
                  <c:v>65.59</c:v>
                </c:pt>
                <c:pt idx="512">
                  <c:v>65.56</c:v>
                </c:pt>
                <c:pt idx="513">
                  <c:v>65.540000000000006</c:v>
                </c:pt>
                <c:pt idx="514">
                  <c:v>65.540000000000006</c:v>
                </c:pt>
                <c:pt idx="515">
                  <c:v>65.52</c:v>
                </c:pt>
                <c:pt idx="516">
                  <c:v>65.53</c:v>
                </c:pt>
                <c:pt idx="517">
                  <c:v>65.5</c:v>
                </c:pt>
                <c:pt idx="518">
                  <c:v>65.5</c:v>
                </c:pt>
                <c:pt idx="519">
                  <c:v>65.48</c:v>
                </c:pt>
                <c:pt idx="520">
                  <c:v>65.459999999999994</c:v>
                </c:pt>
                <c:pt idx="521">
                  <c:v>65.48</c:v>
                </c:pt>
                <c:pt idx="522">
                  <c:v>65.47</c:v>
                </c:pt>
                <c:pt idx="523">
                  <c:v>65.48</c:v>
                </c:pt>
                <c:pt idx="524">
                  <c:v>65.45</c:v>
                </c:pt>
                <c:pt idx="525">
                  <c:v>65.430000000000007</c:v>
                </c:pt>
                <c:pt idx="526">
                  <c:v>65.400000000000006</c:v>
                </c:pt>
                <c:pt idx="527">
                  <c:v>65.42</c:v>
                </c:pt>
                <c:pt idx="528">
                  <c:v>65.42</c:v>
                </c:pt>
                <c:pt idx="529">
                  <c:v>65.42</c:v>
                </c:pt>
                <c:pt idx="530">
                  <c:v>65.42</c:v>
                </c:pt>
                <c:pt idx="531">
                  <c:v>65.400000000000006</c:v>
                </c:pt>
                <c:pt idx="532">
                  <c:v>65.39</c:v>
                </c:pt>
                <c:pt idx="533">
                  <c:v>65.36</c:v>
                </c:pt>
                <c:pt idx="534">
                  <c:v>65.33</c:v>
                </c:pt>
                <c:pt idx="535">
                  <c:v>65.349999999999994</c:v>
                </c:pt>
                <c:pt idx="536">
                  <c:v>65.349999999999994</c:v>
                </c:pt>
                <c:pt idx="537">
                  <c:v>65.36</c:v>
                </c:pt>
                <c:pt idx="538">
                  <c:v>65.28</c:v>
                </c:pt>
                <c:pt idx="539">
                  <c:v>65.31</c:v>
                </c:pt>
                <c:pt idx="540">
                  <c:v>65.33</c:v>
                </c:pt>
                <c:pt idx="541">
                  <c:v>65.3</c:v>
                </c:pt>
                <c:pt idx="542">
                  <c:v>65.290000000000006</c:v>
                </c:pt>
                <c:pt idx="543">
                  <c:v>65.3</c:v>
                </c:pt>
                <c:pt idx="544">
                  <c:v>65.28</c:v>
                </c:pt>
                <c:pt idx="545">
                  <c:v>65.25</c:v>
                </c:pt>
                <c:pt idx="546">
                  <c:v>65.28</c:v>
                </c:pt>
                <c:pt idx="547">
                  <c:v>65.25</c:v>
                </c:pt>
                <c:pt idx="548">
                  <c:v>65.28</c:v>
                </c:pt>
                <c:pt idx="549">
                  <c:v>65.28</c:v>
                </c:pt>
                <c:pt idx="550">
                  <c:v>65.25</c:v>
                </c:pt>
                <c:pt idx="551">
                  <c:v>65.25</c:v>
                </c:pt>
                <c:pt idx="552">
                  <c:v>65.23</c:v>
                </c:pt>
                <c:pt idx="553">
                  <c:v>65.22</c:v>
                </c:pt>
                <c:pt idx="554">
                  <c:v>65.2</c:v>
                </c:pt>
                <c:pt idx="555">
                  <c:v>65.180000000000007</c:v>
                </c:pt>
                <c:pt idx="556">
                  <c:v>65.209999999999994</c:v>
                </c:pt>
                <c:pt idx="557">
                  <c:v>65.2</c:v>
                </c:pt>
                <c:pt idx="558">
                  <c:v>65.180000000000007</c:v>
                </c:pt>
                <c:pt idx="559">
                  <c:v>65.17</c:v>
                </c:pt>
                <c:pt idx="560">
                  <c:v>65.180000000000007</c:v>
                </c:pt>
                <c:pt idx="561">
                  <c:v>65.17</c:v>
                </c:pt>
                <c:pt idx="562">
                  <c:v>65.16</c:v>
                </c:pt>
                <c:pt idx="563">
                  <c:v>65.150000000000006</c:v>
                </c:pt>
                <c:pt idx="564">
                  <c:v>65.180000000000007</c:v>
                </c:pt>
                <c:pt idx="565">
                  <c:v>65.17</c:v>
                </c:pt>
                <c:pt idx="566">
                  <c:v>65.17</c:v>
                </c:pt>
                <c:pt idx="567">
                  <c:v>65.150000000000006</c:v>
                </c:pt>
                <c:pt idx="568">
                  <c:v>65.150000000000006</c:v>
                </c:pt>
                <c:pt idx="569">
                  <c:v>65.17</c:v>
                </c:pt>
                <c:pt idx="570">
                  <c:v>65.180000000000007</c:v>
                </c:pt>
                <c:pt idx="571">
                  <c:v>65.2</c:v>
                </c:pt>
                <c:pt idx="572">
                  <c:v>65.16</c:v>
                </c:pt>
                <c:pt idx="573">
                  <c:v>65.17</c:v>
                </c:pt>
                <c:pt idx="574">
                  <c:v>65.150000000000006</c:v>
                </c:pt>
                <c:pt idx="575">
                  <c:v>65.150000000000006</c:v>
                </c:pt>
                <c:pt idx="576">
                  <c:v>65.12</c:v>
                </c:pt>
                <c:pt idx="577">
                  <c:v>65.14</c:v>
                </c:pt>
                <c:pt idx="578">
                  <c:v>65.13</c:v>
                </c:pt>
                <c:pt idx="579">
                  <c:v>65.12</c:v>
                </c:pt>
                <c:pt idx="580">
                  <c:v>65.06</c:v>
                </c:pt>
                <c:pt idx="581">
                  <c:v>65.099999999999994</c:v>
                </c:pt>
                <c:pt idx="582">
                  <c:v>65.069999999999993</c:v>
                </c:pt>
                <c:pt idx="583">
                  <c:v>65.09</c:v>
                </c:pt>
                <c:pt idx="584">
                  <c:v>65.08</c:v>
                </c:pt>
                <c:pt idx="585">
                  <c:v>65.069999999999993</c:v>
                </c:pt>
                <c:pt idx="586">
                  <c:v>65.08</c:v>
                </c:pt>
                <c:pt idx="587">
                  <c:v>65.08</c:v>
                </c:pt>
                <c:pt idx="588">
                  <c:v>65.06</c:v>
                </c:pt>
                <c:pt idx="589">
                  <c:v>65.069999999999993</c:v>
                </c:pt>
                <c:pt idx="590">
                  <c:v>65.069999999999993</c:v>
                </c:pt>
                <c:pt idx="591">
                  <c:v>65.09</c:v>
                </c:pt>
                <c:pt idx="592">
                  <c:v>65.069999999999993</c:v>
                </c:pt>
                <c:pt idx="593">
                  <c:v>65.11</c:v>
                </c:pt>
                <c:pt idx="594">
                  <c:v>64.92</c:v>
                </c:pt>
                <c:pt idx="595">
                  <c:v>65.13</c:v>
                </c:pt>
                <c:pt idx="596">
                  <c:v>64.53</c:v>
                </c:pt>
                <c:pt idx="597">
                  <c:v>65.11</c:v>
                </c:pt>
                <c:pt idx="598">
                  <c:v>64.48</c:v>
                </c:pt>
                <c:pt idx="599">
                  <c:v>65.11</c:v>
                </c:pt>
                <c:pt idx="600">
                  <c:v>64.430000000000007</c:v>
                </c:pt>
                <c:pt idx="601">
                  <c:v>65.11</c:v>
                </c:pt>
                <c:pt idx="602">
                  <c:v>64.459999999999994</c:v>
                </c:pt>
                <c:pt idx="603">
                  <c:v>65.150000000000006</c:v>
                </c:pt>
                <c:pt idx="604">
                  <c:v>64.459999999999994</c:v>
                </c:pt>
                <c:pt idx="605">
                  <c:v>65.14</c:v>
                </c:pt>
                <c:pt idx="606">
                  <c:v>64.459999999999994</c:v>
                </c:pt>
                <c:pt idx="607">
                  <c:v>65.17</c:v>
                </c:pt>
                <c:pt idx="608">
                  <c:v>64.489999999999995</c:v>
                </c:pt>
                <c:pt idx="609">
                  <c:v>65.180000000000007</c:v>
                </c:pt>
                <c:pt idx="610">
                  <c:v>64.48</c:v>
                </c:pt>
                <c:pt idx="611">
                  <c:v>65.180000000000007</c:v>
                </c:pt>
                <c:pt idx="612">
                  <c:v>64.48</c:v>
                </c:pt>
                <c:pt idx="613">
                  <c:v>65.209999999999994</c:v>
                </c:pt>
                <c:pt idx="614">
                  <c:v>64.52</c:v>
                </c:pt>
                <c:pt idx="615">
                  <c:v>65.2</c:v>
                </c:pt>
                <c:pt idx="616">
                  <c:v>64.540000000000006</c:v>
                </c:pt>
                <c:pt idx="617">
                  <c:v>65.239999999999995</c:v>
                </c:pt>
                <c:pt idx="618">
                  <c:v>64.53</c:v>
                </c:pt>
                <c:pt idx="619">
                  <c:v>65.260000000000005</c:v>
                </c:pt>
                <c:pt idx="620">
                  <c:v>64.569999999999993</c:v>
                </c:pt>
                <c:pt idx="621">
                  <c:v>65.260000000000005</c:v>
                </c:pt>
                <c:pt idx="622">
                  <c:v>64.569999999999993</c:v>
                </c:pt>
                <c:pt idx="623">
                  <c:v>65.260000000000005</c:v>
                </c:pt>
                <c:pt idx="624">
                  <c:v>64.63</c:v>
                </c:pt>
                <c:pt idx="625">
                  <c:v>65.27</c:v>
                </c:pt>
                <c:pt idx="626">
                  <c:v>64.58</c:v>
                </c:pt>
                <c:pt idx="627">
                  <c:v>65.3</c:v>
                </c:pt>
                <c:pt idx="628">
                  <c:v>64.61</c:v>
                </c:pt>
                <c:pt idx="629">
                  <c:v>65.3</c:v>
                </c:pt>
                <c:pt idx="630">
                  <c:v>64.62</c:v>
                </c:pt>
                <c:pt idx="631">
                  <c:v>65.3</c:v>
                </c:pt>
                <c:pt idx="632">
                  <c:v>64.61</c:v>
                </c:pt>
                <c:pt idx="633">
                  <c:v>65.31</c:v>
                </c:pt>
                <c:pt idx="634">
                  <c:v>64.63</c:v>
                </c:pt>
                <c:pt idx="635">
                  <c:v>65.319999999999993</c:v>
                </c:pt>
                <c:pt idx="636">
                  <c:v>64.63</c:v>
                </c:pt>
                <c:pt idx="637">
                  <c:v>65.319999999999993</c:v>
                </c:pt>
                <c:pt idx="638">
                  <c:v>64.66</c:v>
                </c:pt>
                <c:pt idx="639">
                  <c:v>65.31</c:v>
                </c:pt>
                <c:pt idx="640">
                  <c:v>64.680000000000007</c:v>
                </c:pt>
                <c:pt idx="641">
                  <c:v>65.31</c:v>
                </c:pt>
                <c:pt idx="642">
                  <c:v>64.650000000000006</c:v>
                </c:pt>
                <c:pt idx="643">
                  <c:v>65.34</c:v>
                </c:pt>
                <c:pt idx="644">
                  <c:v>64.650000000000006</c:v>
                </c:pt>
                <c:pt idx="645">
                  <c:v>65.34</c:v>
                </c:pt>
                <c:pt idx="646">
                  <c:v>64.650000000000006</c:v>
                </c:pt>
                <c:pt idx="647">
                  <c:v>65.31</c:v>
                </c:pt>
                <c:pt idx="648">
                  <c:v>64.67</c:v>
                </c:pt>
                <c:pt idx="649">
                  <c:v>65.34</c:v>
                </c:pt>
                <c:pt idx="650">
                  <c:v>64.7</c:v>
                </c:pt>
                <c:pt idx="651">
                  <c:v>65.37</c:v>
                </c:pt>
                <c:pt idx="652">
                  <c:v>64.69</c:v>
                </c:pt>
                <c:pt idx="653">
                  <c:v>65.39</c:v>
                </c:pt>
                <c:pt idx="654">
                  <c:v>64.680000000000007</c:v>
                </c:pt>
                <c:pt idx="655">
                  <c:v>65.36</c:v>
                </c:pt>
                <c:pt idx="656">
                  <c:v>64.680000000000007</c:v>
                </c:pt>
                <c:pt idx="657">
                  <c:v>65.39</c:v>
                </c:pt>
                <c:pt idx="658">
                  <c:v>64.680000000000007</c:v>
                </c:pt>
                <c:pt idx="659">
                  <c:v>65.430000000000007</c:v>
                </c:pt>
                <c:pt idx="660">
                  <c:v>64.709999999999994</c:v>
                </c:pt>
                <c:pt idx="661">
                  <c:v>65.48</c:v>
                </c:pt>
                <c:pt idx="662">
                  <c:v>65.47</c:v>
                </c:pt>
                <c:pt idx="663">
                  <c:v>65.489999999999995</c:v>
                </c:pt>
                <c:pt idx="664">
                  <c:v>65.53</c:v>
                </c:pt>
                <c:pt idx="665">
                  <c:v>65.67</c:v>
                </c:pt>
                <c:pt idx="666">
                  <c:v>65.83</c:v>
                </c:pt>
                <c:pt idx="667">
                  <c:v>66.03</c:v>
                </c:pt>
                <c:pt idx="668">
                  <c:v>66.290000000000006</c:v>
                </c:pt>
                <c:pt idx="669">
                  <c:v>66.55</c:v>
                </c:pt>
                <c:pt idx="670">
                  <c:v>66.83</c:v>
                </c:pt>
                <c:pt idx="671">
                  <c:v>67.2</c:v>
                </c:pt>
                <c:pt idx="672">
                  <c:v>67.58</c:v>
                </c:pt>
                <c:pt idx="673">
                  <c:v>67.92</c:v>
                </c:pt>
                <c:pt idx="674">
                  <c:v>68.319999999999993</c:v>
                </c:pt>
                <c:pt idx="675">
                  <c:v>68.7</c:v>
                </c:pt>
                <c:pt idx="676">
                  <c:v>69.12</c:v>
                </c:pt>
                <c:pt idx="677">
                  <c:v>69.510000000000005</c:v>
                </c:pt>
                <c:pt idx="678">
                  <c:v>69.84</c:v>
                </c:pt>
                <c:pt idx="679">
                  <c:v>70.31</c:v>
                </c:pt>
                <c:pt idx="680">
                  <c:v>70.67</c:v>
                </c:pt>
                <c:pt idx="681">
                  <c:v>71.08</c:v>
                </c:pt>
                <c:pt idx="682">
                  <c:v>71.430000000000007</c:v>
                </c:pt>
                <c:pt idx="683">
                  <c:v>71.849999999999994</c:v>
                </c:pt>
                <c:pt idx="684">
                  <c:v>72.27</c:v>
                </c:pt>
                <c:pt idx="685">
                  <c:v>72.599999999999994</c:v>
                </c:pt>
                <c:pt idx="686">
                  <c:v>72.94</c:v>
                </c:pt>
                <c:pt idx="687">
                  <c:v>73.239999999999995</c:v>
                </c:pt>
                <c:pt idx="688">
                  <c:v>73.61</c:v>
                </c:pt>
                <c:pt idx="689">
                  <c:v>73.94</c:v>
                </c:pt>
                <c:pt idx="690">
                  <c:v>74.23</c:v>
                </c:pt>
                <c:pt idx="691">
                  <c:v>74.53</c:v>
                </c:pt>
                <c:pt idx="692">
                  <c:v>74.84</c:v>
                </c:pt>
                <c:pt idx="693">
                  <c:v>75.14</c:v>
                </c:pt>
                <c:pt idx="694">
                  <c:v>75.41</c:v>
                </c:pt>
                <c:pt idx="695">
                  <c:v>75.680000000000007</c:v>
                </c:pt>
                <c:pt idx="696">
                  <c:v>75.959999999999994</c:v>
                </c:pt>
                <c:pt idx="697">
                  <c:v>76.17</c:v>
                </c:pt>
                <c:pt idx="698">
                  <c:v>76.459999999999994</c:v>
                </c:pt>
                <c:pt idx="699">
                  <c:v>76.739999999999995</c:v>
                </c:pt>
                <c:pt idx="700">
                  <c:v>76.94</c:v>
                </c:pt>
                <c:pt idx="701">
                  <c:v>77.180000000000007</c:v>
                </c:pt>
                <c:pt idx="702">
                  <c:v>77.38</c:v>
                </c:pt>
                <c:pt idx="703">
                  <c:v>77.58</c:v>
                </c:pt>
                <c:pt idx="704">
                  <c:v>77.8</c:v>
                </c:pt>
                <c:pt idx="705">
                  <c:v>78.010000000000005</c:v>
                </c:pt>
                <c:pt idx="706">
                  <c:v>78.2</c:v>
                </c:pt>
                <c:pt idx="707">
                  <c:v>78.38</c:v>
                </c:pt>
                <c:pt idx="708">
                  <c:v>78.56</c:v>
                </c:pt>
                <c:pt idx="709">
                  <c:v>78.739999999999995</c:v>
                </c:pt>
                <c:pt idx="710">
                  <c:v>78.92</c:v>
                </c:pt>
                <c:pt idx="711">
                  <c:v>79.05</c:v>
                </c:pt>
                <c:pt idx="712">
                  <c:v>79.27</c:v>
                </c:pt>
                <c:pt idx="713">
                  <c:v>79.42</c:v>
                </c:pt>
                <c:pt idx="714">
                  <c:v>79.55</c:v>
                </c:pt>
                <c:pt idx="715">
                  <c:v>79.64</c:v>
                </c:pt>
                <c:pt idx="716">
                  <c:v>79.81</c:v>
                </c:pt>
                <c:pt idx="717">
                  <c:v>79.95</c:v>
                </c:pt>
                <c:pt idx="718">
                  <c:v>80.05</c:v>
                </c:pt>
                <c:pt idx="719">
                  <c:v>80.17</c:v>
                </c:pt>
                <c:pt idx="720">
                  <c:v>80.319999999999993</c:v>
                </c:pt>
                <c:pt idx="721">
                  <c:v>80.41</c:v>
                </c:pt>
                <c:pt idx="722">
                  <c:v>80.5</c:v>
                </c:pt>
                <c:pt idx="723">
                  <c:v>80.599999999999994</c:v>
                </c:pt>
                <c:pt idx="724">
                  <c:v>80.739999999999995</c:v>
                </c:pt>
                <c:pt idx="725">
                  <c:v>80.73</c:v>
                </c:pt>
                <c:pt idx="726">
                  <c:v>80.86</c:v>
                </c:pt>
                <c:pt idx="727">
                  <c:v>80.73</c:v>
                </c:pt>
                <c:pt idx="728">
                  <c:v>81.02</c:v>
                </c:pt>
                <c:pt idx="729">
                  <c:v>80.39</c:v>
                </c:pt>
                <c:pt idx="730">
                  <c:v>81.150000000000006</c:v>
                </c:pt>
                <c:pt idx="731">
                  <c:v>80.459999999999994</c:v>
                </c:pt>
                <c:pt idx="732">
                  <c:v>81.349999999999994</c:v>
                </c:pt>
                <c:pt idx="733">
                  <c:v>80.59</c:v>
                </c:pt>
                <c:pt idx="734">
                  <c:v>81.44</c:v>
                </c:pt>
                <c:pt idx="735">
                  <c:v>80.72</c:v>
                </c:pt>
                <c:pt idx="736">
                  <c:v>81.61</c:v>
                </c:pt>
                <c:pt idx="737">
                  <c:v>80.83</c:v>
                </c:pt>
                <c:pt idx="738">
                  <c:v>81.73</c:v>
                </c:pt>
                <c:pt idx="739">
                  <c:v>81.02</c:v>
                </c:pt>
                <c:pt idx="740">
                  <c:v>81.83</c:v>
                </c:pt>
                <c:pt idx="741">
                  <c:v>81.069999999999993</c:v>
                </c:pt>
                <c:pt idx="742">
                  <c:v>81.88</c:v>
                </c:pt>
                <c:pt idx="743">
                  <c:v>81.09</c:v>
                </c:pt>
                <c:pt idx="744">
                  <c:v>81.97</c:v>
                </c:pt>
                <c:pt idx="745">
                  <c:v>81.17</c:v>
                </c:pt>
                <c:pt idx="746">
                  <c:v>82.02</c:v>
                </c:pt>
                <c:pt idx="747">
                  <c:v>81.23</c:v>
                </c:pt>
                <c:pt idx="748">
                  <c:v>82.05</c:v>
                </c:pt>
                <c:pt idx="749">
                  <c:v>81.27</c:v>
                </c:pt>
                <c:pt idx="750">
                  <c:v>82.07</c:v>
                </c:pt>
                <c:pt idx="751">
                  <c:v>81.319999999999993</c:v>
                </c:pt>
                <c:pt idx="752">
                  <c:v>82.12</c:v>
                </c:pt>
                <c:pt idx="753">
                  <c:v>81.319999999999993</c:v>
                </c:pt>
                <c:pt idx="754">
                  <c:v>82.17</c:v>
                </c:pt>
                <c:pt idx="755">
                  <c:v>81.400000000000006</c:v>
                </c:pt>
                <c:pt idx="756">
                  <c:v>82.22</c:v>
                </c:pt>
                <c:pt idx="757">
                  <c:v>81.430000000000007</c:v>
                </c:pt>
                <c:pt idx="758">
                  <c:v>82.26</c:v>
                </c:pt>
                <c:pt idx="759">
                  <c:v>81.459999999999994</c:v>
                </c:pt>
                <c:pt idx="760">
                  <c:v>82.26</c:v>
                </c:pt>
                <c:pt idx="761">
                  <c:v>81.41</c:v>
                </c:pt>
                <c:pt idx="762">
                  <c:v>82.29</c:v>
                </c:pt>
                <c:pt idx="763">
                  <c:v>81.430000000000007</c:v>
                </c:pt>
                <c:pt idx="764">
                  <c:v>82.29</c:v>
                </c:pt>
                <c:pt idx="765">
                  <c:v>81.430000000000007</c:v>
                </c:pt>
                <c:pt idx="766">
                  <c:v>82.29</c:v>
                </c:pt>
                <c:pt idx="767">
                  <c:v>81.42</c:v>
                </c:pt>
                <c:pt idx="768">
                  <c:v>82.3</c:v>
                </c:pt>
                <c:pt idx="769">
                  <c:v>81.44</c:v>
                </c:pt>
                <c:pt idx="770">
                  <c:v>82.29</c:v>
                </c:pt>
                <c:pt idx="771">
                  <c:v>81.42</c:v>
                </c:pt>
                <c:pt idx="772">
                  <c:v>82.29</c:v>
                </c:pt>
                <c:pt idx="773">
                  <c:v>81.42</c:v>
                </c:pt>
                <c:pt idx="774">
                  <c:v>82.26</c:v>
                </c:pt>
                <c:pt idx="775">
                  <c:v>81.41</c:v>
                </c:pt>
                <c:pt idx="776">
                  <c:v>82.24</c:v>
                </c:pt>
                <c:pt idx="777">
                  <c:v>81.42</c:v>
                </c:pt>
                <c:pt idx="778">
                  <c:v>82.21</c:v>
                </c:pt>
                <c:pt idx="779">
                  <c:v>81.38</c:v>
                </c:pt>
                <c:pt idx="780">
                  <c:v>82.16</c:v>
                </c:pt>
                <c:pt idx="781">
                  <c:v>81.290000000000006</c:v>
                </c:pt>
                <c:pt idx="782">
                  <c:v>82.11</c:v>
                </c:pt>
                <c:pt idx="783">
                  <c:v>81.28</c:v>
                </c:pt>
                <c:pt idx="784">
                  <c:v>82.1</c:v>
                </c:pt>
                <c:pt idx="785">
                  <c:v>81.25</c:v>
                </c:pt>
                <c:pt idx="786">
                  <c:v>82.06</c:v>
                </c:pt>
                <c:pt idx="787">
                  <c:v>81.2</c:v>
                </c:pt>
                <c:pt idx="788">
                  <c:v>82.03</c:v>
                </c:pt>
                <c:pt idx="789">
                  <c:v>81.180000000000007</c:v>
                </c:pt>
                <c:pt idx="790">
                  <c:v>81.92</c:v>
                </c:pt>
                <c:pt idx="791">
                  <c:v>81.17</c:v>
                </c:pt>
                <c:pt idx="792">
                  <c:v>81.290000000000006</c:v>
                </c:pt>
                <c:pt idx="793">
                  <c:v>81.14</c:v>
                </c:pt>
                <c:pt idx="794">
                  <c:v>81.12</c:v>
                </c:pt>
                <c:pt idx="795">
                  <c:v>81.16</c:v>
                </c:pt>
                <c:pt idx="796">
                  <c:v>81.150000000000006</c:v>
                </c:pt>
                <c:pt idx="797">
                  <c:v>81.13</c:v>
                </c:pt>
                <c:pt idx="798">
                  <c:v>81.099999999999994</c:v>
                </c:pt>
                <c:pt idx="799">
                  <c:v>81.11</c:v>
                </c:pt>
                <c:pt idx="800">
                  <c:v>81.099999999999994</c:v>
                </c:pt>
                <c:pt idx="801">
                  <c:v>81.13</c:v>
                </c:pt>
                <c:pt idx="802">
                  <c:v>81.05</c:v>
                </c:pt>
                <c:pt idx="803">
                  <c:v>81.09</c:v>
                </c:pt>
                <c:pt idx="804">
                  <c:v>81.08</c:v>
                </c:pt>
                <c:pt idx="805">
                  <c:v>81.06</c:v>
                </c:pt>
                <c:pt idx="806">
                  <c:v>81.05</c:v>
                </c:pt>
                <c:pt idx="807">
                  <c:v>81.010000000000005</c:v>
                </c:pt>
                <c:pt idx="808">
                  <c:v>81.010000000000005</c:v>
                </c:pt>
                <c:pt idx="809">
                  <c:v>81</c:v>
                </c:pt>
                <c:pt idx="810">
                  <c:v>80.989999999999995</c:v>
                </c:pt>
                <c:pt idx="811">
                  <c:v>80.98</c:v>
                </c:pt>
                <c:pt idx="812">
                  <c:v>80.97</c:v>
                </c:pt>
                <c:pt idx="813">
                  <c:v>80.94</c:v>
                </c:pt>
                <c:pt idx="814">
                  <c:v>80.930000000000007</c:v>
                </c:pt>
                <c:pt idx="815">
                  <c:v>80.959999999999994</c:v>
                </c:pt>
                <c:pt idx="816">
                  <c:v>80.97</c:v>
                </c:pt>
                <c:pt idx="817">
                  <c:v>80.900000000000006</c:v>
                </c:pt>
                <c:pt idx="818">
                  <c:v>80.89</c:v>
                </c:pt>
                <c:pt idx="819">
                  <c:v>80.89</c:v>
                </c:pt>
                <c:pt idx="820">
                  <c:v>80.84</c:v>
                </c:pt>
                <c:pt idx="821">
                  <c:v>80.81</c:v>
                </c:pt>
                <c:pt idx="822">
                  <c:v>80.8</c:v>
                </c:pt>
                <c:pt idx="823">
                  <c:v>80.78</c:v>
                </c:pt>
                <c:pt idx="824">
                  <c:v>80.75</c:v>
                </c:pt>
                <c:pt idx="825">
                  <c:v>80.760000000000005</c:v>
                </c:pt>
                <c:pt idx="826">
                  <c:v>80.75</c:v>
                </c:pt>
                <c:pt idx="827">
                  <c:v>80.77</c:v>
                </c:pt>
                <c:pt idx="828">
                  <c:v>80.73</c:v>
                </c:pt>
                <c:pt idx="829">
                  <c:v>80.7</c:v>
                </c:pt>
                <c:pt idx="830">
                  <c:v>80.66</c:v>
                </c:pt>
                <c:pt idx="831">
                  <c:v>80.73</c:v>
                </c:pt>
                <c:pt idx="832">
                  <c:v>80.709999999999994</c:v>
                </c:pt>
                <c:pt idx="833">
                  <c:v>80.69</c:v>
                </c:pt>
                <c:pt idx="834">
                  <c:v>80.67</c:v>
                </c:pt>
                <c:pt idx="835">
                  <c:v>80.62</c:v>
                </c:pt>
                <c:pt idx="836">
                  <c:v>80.67</c:v>
                </c:pt>
                <c:pt idx="837">
                  <c:v>80.62</c:v>
                </c:pt>
                <c:pt idx="838">
                  <c:v>80.650000000000006</c:v>
                </c:pt>
                <c:pt idx="839">
                  <c:v>80.61</c:v>
                </c:pt>
                <c:pt idx="840">
                  <c:v>80.59</c:v>
                </c:pt>
                <c:pt idx="841">
                  <c:v>80.53</c:v>
                </c:pt>
                <c:pt idx="842">
                  <c:v>80.53</c:v>
                </c:pt>
                <c:pt idx="843">
                  <c:v>80.510000000000005</c:v>
                </c:pt>
                <c:pt idx="844">
                  <c:v>80.48</c:v>
                </c:pt>
                <c:pt idx="845">
                  <c:v>80.45</c:v>
                </c:pt>
                <c:pt idx="846">
                  <c:v>80.48</c:v>
                </c:pt>
                <c:pt idx="847">
                  <c:v>80.459999999999994</c:v>
                </c:pt>
                <c:pt idx="848">
                  <c:v>80.489999999999995</c:v>
                </c:pt>
                <c:pt idx="849">
                  <c:v>80.45</c:v>
                </c:pt>
                <c:pt idx="850">
                  <c:v>80.400000000000006</c:v>
                </c:pt>
                <c:pt idx="851">
                  <c:v>80.39</c:v>
                </c:pt>
                <c:pt idx="852">
                  <c:v>80.38</c:v>
                </c:pt>
                <c:pt idx="853">
                  <c:v>80.39</c:v>
                </c:pt>
                <c:pt idx="854">
                  <c:v>80.36</c:v>
                </c:pt>
                <c:pt idx="855">
                  <c:v>80.34</c:v>
                </c:pt>
                <c:pt idx="856">
                  <c:v>80.38</c:v>
                </c:pt>
                <c:pt idx="857">
                  <c:v>80.31</c:v>
                </c:pt>
                <c:pt idx="858">
                  <c:v>80.33</c:v>
                </c:pt>
                <c:pt idx="859">
                  <c:v>80.33</c:v>
                </c:pt>
                <c:pt idx="860">
                  <c:v>80.319999999999993</c:v>
                </c:pt>
                <c:pt idx="861">
                  <c:v>80.290000000000006</c:v>
                </c:pt>
                <c:pt idx="862">
                  <c:v>80.319999999999993</c:v>
                </c:pt>
                <c:pt idx="863">
                  <c:v>80.3</c:v>
                </c:pt>
                <c:pt idx="864">
                  <c:v>80.290000000000006</c:v>
                </c:pt>
                <c:pt idx="865">
                  <c:v>80.28</c:v>
                </c:pt>
                <c:pt idx="866">
                  <c:v>80.33</c:v>
                </c:pt>
                <c:pt idx="867">
                  <c:v>80.27</c:v>
                </c:pt>
                <c:pt idx="868">
                  <c:v>80.27</c:v>
                </c:pt>
                <c:pt idx="869">
                  <c:v>80.260000000000005</c:v>
                </c:pt>
                <c:pt idx="870">
                  <c:v>80.260000000000005</c:v>
                </c:pt>
                <c:pt idx="871">
                  <c:v>80.22</c:v>
                </c:pt>
                <c:pt idx="872">
                  <c:v>80.209999999999994</c:v>
                </c:pt>
                <c:pt idx="873">
                  <c:v>80.19</c:v>
                </c:pt>
                <c:pt idx="874">
                  <c:v>80.19</c:v>
                </c:pt>
                <c:pt idx="875">
                  <c:v>80.17</c:v>
                </c:pt>
                <c:pt idx="876">
                  <c:v>80.150000000000006</c:v>
                </c:pt>
                <c:pt idx="877">
                  <c:v>80.11</c:v>
                </c:pt>
                <c:pt idx="878">
                  <c:v>80.17</c:v>
                </c:pt>
                <c:pt idx="879">
                  <c:v>80.19</c:v>
                </c:pt>
                <c:pt idx="880">
                  <c:v>80.14</c:v>
                </c:pt>
                <c:pt idx="881">
                  <c:v>80.13</c:v>
                </c:pt>
                <c:pt idx="882">
                  <c:v>80.14</c:v>
                </c:pt>
                <c:pt idx="883">
                  <c:v>80.14</c:v>
                </c:pt>
                <c:pt idx="884">
                  <c:v>80.14</c:v>
                </c:pt>
                <c:pt idx="885">
                  <c:v>80.099999999999994</c:v>
                </c:pt>
                <c:pt idx="886">
                  <c:v>80.17</c:v>
                </c:pt>
                <c:pt idx="887">
                  <c:v>80.17</c:v>
                </c:pt>
                <c:pt idx="888">
                  <c:v>80.13</c:v>
                </c:pt>
                <c:pt idx="889">
                  <c:v>80.19</c:v>
                </c:pt>
                <c:pt idx="890">
                  <c:v>80.16</c:v>
                </c:pt>
                <c:pt idx="891">
                  <c:v>80.150000000000006</c:v>
                </c:pt>
                <c:pt idx="892">
                  <c:v>80.150000000000006</c:v>
                </c:pt>
                <c:pt idx="893">
                  <c:v>80.16</c:v>
                </c:pt>
                <c:pt idx="894">
                  <c:v>80.13</c:v>
                </c:pt>
                <c:pt idx="895">
                  <c:v>80.13</c:v>
                </c:pt>
                <c:pt idx="896">
                  <c:v>80.11</c:v>
                </c:pt>
                <c:pt idx="897">
                  <c:v>80.099999999999994</c:v>
                </c:pt>
                <c:pt idx="898">
                  <c:v>80.13</c:v>
                </c:pt>
                <c:pt idx="899">
                  <c:v>80.09</c:v>
                </c:pt>
                <c:pt idx="900">
                  <c:v>80.12</c:v>
                </c:pt>
                <c:pt idx="901">
                  <c:v>80.099999999999994</c:v>
                </c:pt>
                <c:pt idx="902">
                  <c:v>80.08</c:v>
                </c:pt>
                <c:pt idx="903">
                  <c:v>80.069999999999993</c:v>
                </c:pt>
                <c:pt idx="904">
                  <c:v>80.05</c:v>
                </c:pt>
                <c:pt idx="905">
                  <c:v>80.03</c:v>
                </c:pt>
                <c:pt idx="906">
                  <c:v>80.03</c:v>
                </c:pt>
                <c:pt idx="907">
                  <c:v>80.05</c:v>
                </c:pt>
                <c:pt idx="908">
                  <c:v>80.05</c:v>
                </c:pt>
                <c:pt idx="909">
                  <c:v>80.010000000000005</c:v>
                </c:pt>
                <c:pt idx="910">
                  <c:v>80.03</c:v>
                </c:pt>
                <c:pt idx="911">
                  <c:v>79.989999999999995</c:v>
                </c:pt>
                <c:pt idx="912">
                  <c:v>80.03</c:v>
                </c:pt>
                <c:pt idx="913">
                  <c:v>80.040000000000006</c:v>
                </c:pt>
                <c:pt idx="914">
                  <c:v>80.099999999999994</c:v>
                </c:pt>
                <c:pt idx="915">
                  <c:v>80.099999999999994</c:v>
                </c:pt>
                <c:pt idx="916">
                  <c:v>80.150000000000006</c:v>
                </c:pt>
                <c:pt idx="917">
                  <c:v>80.17</c:v>
                </c:pt>
                <c:pt idx="918">
                  <c:v>80.239999999999995</c:v>
                </c:pt>
                <c:pt idx="919">
                  <c:v>80.25</c:v>
                </c:pt>
                <c:pt idx="920">
                  <c:v>80.319999999999993</c:v>
                </c:pt>
                <c:pt idx="921">
                  <c:v>80.319999999999993</c:v>
                </c:pt>
                <c:pt idx="922">
                  <c:v>80.38</c:v>
                </c:pt>
                <c:pt idx="923">
                  <c:v>80.459999999999994</c:v>
                </c:pt>
                <c:pt idx="924">
                  <c:v>80.47</c:v>
                </c:pt>
                <c:pt idx="925">
                  <c:v>80.52</c:v>
                </c:pt>
                <c:pt idx="926">
                  <c:v>80.510000000000005</c:v>
                </c:pt>
                <c:pt idx="927">
                  <c:v>80.510000000000005</c:v>
                </c:pt>
                <c:pt idx="928">
                  <c:v>80.52</c:v>
                </c:pt>
                <c:pt idx="929">
                  <c:v>80.47</c:v>
                </c:pt>
                <c:pt idx="930">
                  <c:v>80.510000000000005</c:v>
                </c:pt>
                <c:pt idx="931">
                  <c:v>80.5</c:v>
                </c:pt>
                <c:pt idx="932">
                  <c:v>80.48</c:v>
                </c:pt>
                <c:pt idx="933">
                  <c:v>80.510000000000005</c:v>
                </c:pt>
                <c:pt idx="934">
                  <c:v>80.459999999999994</c:v>
                </c:pt>
                <c:pt idx="935">
                  <c:v>80.44</c:v>
                </c:pt>
                <c:pt idx="936">
                  <c:v>80.489999999999995</c:v>
                </c:pt>
                <c:pt idx="937">
                  <c:v>80.42</c:v>
                </c:pt>
                <c:pt idx="938">
                  <c:v>80.41</c:v>
                </c:pt>
                <c:pt idx="939">
                  <c:v>80.41</c:v>
                </c:pt>
                <c:pt idx="940">
                  <c:v>80.38</c:v>
                </c:pt>
                <c:pt idx="941">
                  <c:v>80.349999999999994</c:v>
                </c:pt>
                <c:pt idx="942">
                  <c:v>80.37</c:v>
                </c:pt>
                <c:pt idx="943">
                  <c:v>80.33</c:v>
                </c:pt>
                <c:pt idx="944">
                  <c:v>80.319999999999993</c:v>
                </c:pt>
                <c:pt idx="945">
                  <c:v>80.319999999999993</c:v>
                </c:pt>
                <c:pt idx="946">
                  <c:v>80.319999999999993</c:v>
                </c:pt>
                <c:pt idx="947">
                  <c:v>80.319999999999993</c:v>
                </c:pt>
                <c:pt idx="948">
                  <c:v>80.319999999999993</c:v>
                </c:pt>
                <c:pt idx="949">
                  <c:v>80.260000000000005</c:v>
                </c:pt>
                <c:pt idx="950">
                  <c:v>80.239999999999995</c:v>
                </c:pt>
                <c:pt idx="951">
                  <c:v>80.260000000000005</c:v>
                </c:pt>
                <c:pt idx="952">
                  <c:v>80.25</c:v>
                </c:pt>
                <c:pt idx="953">
                  <c:v>80.209999999999994</c:v>
                </c:pt>
                <c:pt idx="954">
                  <c:v>80.2</c:v>
                </c:pt>
                <c:pt idx="955">
                  <c:v>80.2</c:v>
                </c:pt>
                <c:pt idx="956">
                  <c:v>80.2</c:v>
                </c:pt>
                <c:pt idx="957">
                  <c:v>80.16</c:v>
                </c:pt>
                <c:pt idx="958">
                  <c:v>80.150000000000006</c:v>
                </c:pt>
                <c:pt idx="959">
                  <c:v>80.16</c:v>
                </c:pt>
                <c:pt idx="960">
                  <c:v>80.14</c:v>
                </c:pt>
                <c:pt idx="961">
                  <c:v>80.13</c:v>
                </c:pt>
                <c:pt idx="962">
                  <c:v>80.14</c:v>
                </c:pt>
                <c:pt idx="963">
                  <c:v>80.069999999999993</c:v>
                </c:pt>
                <c:pt idx="964">
                  <c:v>80.09</c:v>
                </c:pt>
                <c:pt idx="965">
                  <c:v>80.08</c:v>
                </c:pt>
                <c:pt idx="966">
                  <c:v>80.069999999999993</c:v>
                </c:pt>
                <c:pt idx="967">
                  <c:v>80.069999999999993</c:v>
                </c:pt>
                <c:pt idx="968">
                  <c:v>80.05</c:v>
                </c:pt>
                <c:pt idx="969">
                  <c:v>80.040000000000006</c:v>
                </c:pt>
                <c:pt idx="970">
                  <c:v>80.06</c:v>
                </c:pt>
                <c:pt idx="971">
                  <c:v>80.040000000000006</c:v>
                </c:pt>
                <c:pt idx="972">
                  <c:v>80.05</c:v>
                </c:pt>
                <c:pt idx="973">
                  <c:v>79.989999999999995</c:v>
                </c:pt>
                <c:pt idx="974">
                  <c:v>79.989999999999995</c:v>
                </c:pt>
                <c:pt idx="975">
                  <c:v>80.02</c:v>
                </c:pt>
                <c:pt idx="976">
                  <c:v>79.95</c:v>
                </c:pt>
                <c:pt idx="977">
                  <c:v>79.97</c:v>
                </c:pt>
                <c:pt idx="978">
                  <c:v>79.97</c:v>
                </c:pt>
                <c:pt idx="979">
                  <c:v>79.97</c:v>
                </c:pt>
                <c:pt idx="980">
                  <c:v>79.97</c:v>
                </c:pt>
                <c:pt idx="981">
                  <c:v>79.959999999999994</c:v>
                </c:pt>
                <c:pt idx="982">
                  <c:v>79.98</c:v>
                </c:pt>
                <c:pt idx="983">
                  <c:v>79.94</c:v>
                </c:pt>
                <c:pt idx="984">
                  <c:v>79.930000000000007</c:v>
                </c:pt>
                <c:pt idx="985">
                  <c:v>79.95</c:v>
                </c:pt>
                <c:pt idx="986">
                  <c:v>79.92</c:v>
                </c:pt>
                <c:pt idx="987">
                  <c:v>79.95</c:v>
                </c:pt>
                <c:pt idx="988">
                  <c:v>79.95</c:v>
                </c:pt>
                <c:pt idx="989">
                  <c:v>79.959999999999994</c:v>
                </c:pt>
                <c:pt idx="990">
                  <c:v>79.95</c:v>
                </c:pt>
                <c:pt idx="991">
                  <c:v>79.97</c:v>
                </c:pt>
                <c:pt idx="992">
                  <c:v>79.94</c:v>
                </c:pt>
                <c:pt idx="993">
                  <c:v>79.92</c:v>
                </c:pt>
                <c:pt idx="994">
                  <c:v>79.95</c:v>
                </c:pt>
                <c:pt idx="995">
                  <c:v>79.92</c:v>
                </c:pt>
                <c:pt idx="996">
                  <c:v>79.98</c:v>
                </c:pt>
                <c:pt idx="997">
                  <c:v>79.95</c:v>
                </c:pt>
                <c:pt idx="998">
                  <c:v>79.98</c:v>
                </c:pt>
                <c:pt idx="999">
                  <c:v>79.97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2C-444E-9C54-CC34820C0D9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tsp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Sheet1!$A$2:$A$1001</c:f>
              <c:numCache>
                <c:formatCode>General</c:formatCode>
                <c:ptCount val="1000"/>
                <c:pt idx="0">
                  <c:v>0.2</c:v>
                </c:pt>
                <c:pt idx="1">
                  <c:v>0.3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0.8</c:v>
                </c:pt>
                <c:pt idx="7">
                  <c:v>0.9</c:v>
                </c:pt>
                <c:pt idx="8">
                  <c:v>1</c:v>
                </c:pt>
                <c:pt idx="9">
                  <c:v>1.1000000000000001</c:v>
                </c:pt>
                <c:pt idx="10">
                  <c:v>1.2</c:v>
                </c:pt>
                <c:pt idx="11">
                  <c:v>1.3</c:v>
                </c:pt>
                <c:pt idx="12">
                  <c:v>1.4</c:v>
                </c:pt>
                <c:pt idx="13">
                  <c:v>1.5</c:v>
                </c:pt>
                <c:pt idx="14">
                  <c:v>1.6</c:v>
                </c:pt>
                <c:pt idx="15">
                  <c:v>1.7</c:v>
                </c:pt>
                <c:pt idx="16">
                  <c:v>1.8</c:v>
                </c:pt>
                <c:pt idx="17">
                  <c:v>1.9</c:v>
                </c:pt>
                <c:pt idx="18">
                  <c:v>2</c:v>
                </c:pt>
                <c:pt idx="19">
                  <c:v>2.1</c:v>
                </c:pt>
                <c:pt idx="20">
                  <c:v>2.2000000000000002</c:v>
                </c:pt>
                <c:pt idx="21">
                  <c:v>2.2999999999999998</c:v>
                </c:pt>
                <c:pt idx="22">
                  <c:v>2.4</c:v>
                </c:pt>
                <c:pt idx="23">
                  <c:v>2.5</c:v>
                </c:pt>
                <c:pt idx="24">
                  <c:v>2.6</c:v>
                </c:pt>
                <c:pt idx="25">
                  <c:v>2.7</c:v>
                </c:pt>
                <c:pt idx="26">
                  <c:v>2.8</c:v>
                </c:pt>
                <c:pt idx="27">
                  <c:v>2.9</c:v>
                </c:pt>
                <c:pt idx="28">
                  <c:v>3</c:v>
                </c:pt>
                <c:pt idx="29">
                  <c:v>3.1</c:v>
                </c:pt>
                <c:pt idx="30">
                  <c:v>3.2</c:v>
                </c:pt>
                <c:pt idx="31">
                  <c:v>3.3</c:v>
                </c:pt>
                <c:pt idx="32">
                  <c:v>3.4</c:v>
                </c:pt>
                <c:pt idx="33">
                  <c:v>3.5</c:v>
                </c:pt>
                <c:pt idx="34">
                  <c:v>3.6</c:v>
                </c:pt>
                <c:pt idx="35">
                  <c:v>3.7</c:v>
                </c:pt>
                <c:pt idx="36">
                  <c:v>3.8</c:v>
                </c:pt>
                <c:pt idx="37">
                  <c:v>3.9</c:v>
                </c:pt>
                <c:pt idx="38">
                  <c:v>4</c:v>
                </c:pt>
                <c:pt idx="39">
                  <c:v>4.0999999999999996</c:v>
                </c:pt>
                <c:pt idx="40">
                  <c:v>4.2</c:v>
                </c:pt>
                <c:pt idx="41">
                  <c:v>4.3</c:v>
                </c:pt>
                <c:pt idx="42">
                  <c:v>4.4000000000000004</c:v>
                </c:pt>
                <c:pt idx="43">
                  <c:v>4.5</c:v>
                </c:pt>
                <c:pt idx="44">
                  <c:v>4.5999999999999996</c:v>
                </c:pt>
                <c:pt idx="45">
                  <c:v>4.7</c:v>
                </c:pt>
                <c:pt idx="46">
                  <c:v>4.8</c:v>
                </c:pt>
                <c:pt idx="47">
                  <c:v>4.9000000000000004</c:v>
                </c:pt>
                <c:pt idx="48">
                  <c:v>5</c:v>
                </c:pt>
                <c:pt idx="49">
                  <c:v>5.0999999999999996</c:v>
                </c:pt>
                <c:pt idx="50">
                  <c:v>5.2</c:v>
                </c:pt>
                <c:pt idx="51">
                  <c:v>5.3</c:v>
                </c:pt>
                <c:pt idx="52">
                  <c:v>5.4</c:v>
                </c:pt>
                <c:pt idx="53">
                  <c:v>5.5</c:v>
                </c:pt>
                <c:pt idx="54">
                  <c:v>5.6</c:v>
                </c:pt>
                <c:pt idx="55">
                  <c:v>5.7</c:v>
                </c:pt>
                <c:pt idx="56">
                  <c:v>5.8</c:v>
                </c:pt>
                <c:pt idx="57">
                  <c:v>5.9</c:v>
                </c:pt>
                <c:pt idx="58">
                  <c:v>6</c:v>
                </c:pt>
                <c:pt idx="59">
                  <c:v>6.1</c:v>
                </c:pt>
                <c:pt idx="60">
                  <c:v>6.2</c:v>
                </c:pt>
                <c:pt idx="61">
                  <c:v>6.3</c:v>
                </c:pt>
                <c:pt idx="62">
                  <c:v>6.4</c:v>
                </c:pt>
                <c:pt idx="63">
                  <c:v>6.5</c:v>
                </c:pt>
                <c:pt idx="64">
                  <c:v>6.6</c:v>
                </c:pt>
                <c:pt idx="65">
                  <c:v>6.7</c:v>
                </c:pt>
                <c:pt idx="66">
                  <c:v>6.8</c:v>
                </c:pt>
                <c:pt idx="67">
                  <c:v>6.9</c:v>
                </c:pt>
                <c:pt idx="68">
                  <c:v>7</c:v>
                </c:pt>
                <c:pt idx="69">
                  <c:v>7.1</c:v>
                </c:pt>
                <c:pt idx="70">
                  <c:v>7.2</c:v>
                </c:pt>
                <c:pt idx="71">
                  <c:v>7.3</c:v>
                </c:pt>
                <c:pt idx="72">
                  <c:v>7.4</c:v>
                </c:pt>
                <c:pt idx="73">
                  <c:v>7.5</c:v>
                </c:pt>
                <c:pt idx="74">
                  <c:v>7.6</c:v>
                </c:pt>
                <c:pt idx="75">
                  <c:v>7.7</c:v>
                </c:pt>
                <c:pt idx="76">
                  <c:v>7.8</c:v>
                </c:pt>
                <c:pt idx="77">
                  <c:v>7.9</c:v>
                </c:pt>
                <c:pt idx="78">
                  <c:v>8</c:v>
                </c:pt>
                <c:pt idx="79">
                  <c:v>8.1</c:v>
                </c:pt>
                <c:pt idx="80">
                  <c:v>8.1999999999999993</c:v>
                </c:pt>
                <c:pt idx="81">
                  <c:v>8.3000000000000007</c:v>
                </c:pt>
                <c:pt idx="82">
                  <c:v>8.4</c:v>
                </c:pt>
                <c:pt idx="83">
                  <c:v>8.5</c:v>
                </c:pt>
                <c:pt idx="84">
                  <c:v>8.6</c:v>
                </c:pt>
                <c:pt idx="85">
                  <c:v>8.6999999999999993</c:v>
                </c:pt>
                <c:pt idx="86">
                  <c:v>8.8000000000000007</c:v>
                </c:pt>
                <c:pt idx="87">
                  <c:v>8.9</c:v>
                </c:pt>
                <c:pt idx="88">
                  <c:v>9</c:v>
                </c:pt>
                <c:pt idx="89">
                  <c:v>9.1</c:v>
                </c:pt>
                <c:pt idx="90">
                  <c:v>9.1999999999999993</c:v>
                </c:pt>
                <c:pt idx="91">
                  <c:v>9.3000000000000007</c:v>
                </c:pt>
                <c:pt idx="92">
                  <c:v>9.4</c:v>
                </c:pt>
                <c:pt idx="93">
                  <c:v>9.5</c:v>
                </c:pt>
                <c:pt idx="94">
                  <c:v>9.6</c:v>
                </c:pt>
                <c:pt idx="95">
                  <c:v>9.6999999999999993</c:v>
                </c:pt>
                <c:pt idx="96">
                  <c:v>9.8000000000000007</c:v>
                </c:pt>
                <c:pt idx="97">
                  <c:v>9.9</c:v>
                </c:pt>
                <c:pt idx="98">
                  <c:v>10</c:v>
                </c:pt>
                <c:pt idx="99">
                  <c:v>10.1</c:v>
                </c:pt>
                <c:pt idx="100">
                  <c:v>10.199999999999999</c:v>
                </c:pt>
                <c:pt idx="101">
                  <c:v>10.3</c:v>
                </c:pt>
                <c:pt idx="102">
                  <c:v>10.4</c:v>
                </c:pt>
                <c:pt idx="103">
                  <c:v>10.5</c:v>
                </c:pt>
                <c:pt idx="104">
                  <c:v>10.6</c:v>
                </c:pt>
                <c:pt idx="105">
                  <c:v>10.7</c:v>
                </c:pt>
                <c:pt idx="106">
                  <c:v>10.8</c:v>
                </c:pt>
                <c:pt idx="107">
                  <c:v>10.9</c:v>
                </c:pt>
                <c:pt idx="108">
                  <c:v>11</c:v>
                </c:pt>
                <c:pt idx="109">
                  <c:v>11.1</c:v>
                </c:pt>
                <c:pt idx="110">
                  <c:v>11.2</c:v>
                </c:pt>
                <c:pt idx="111">
                  <c:v>11.3</c:v>
                </c:pt>
                <c:pt idx="112">
                  <c:v>11.4</c:v>
                </c:pt>
                <c:pt idx="113">
                  <c:v>11.5</c:v>
                </c:pt>
                <c:pt idx="114">
                  <c:v>11.6</c:v>
                </c:pt>
                <c:pt idx="115">
                  <c:v>11.7</c:v>
                </c:pt>
                <c:pt idx="116">
                  <c:v>11.8</c:v>
                </c:pt>
                <c:pt idx="117">
                  <c:v>11.9</c:v>
                </c:pt>
                <c:pt idx="118">
                  <c:v>12</c:v>
                </c:pt>
                <c:pt idx="119">
                  <c:v>12.1</c:v>
                </c:pt>
                <c:pt idx="120">
                  <c:v>12.2</c:v>
                </c:pt>
                <c:pt idx="121">
                  <c:v>12.3</c:v>
                </c:pt>
                <c:pt idx="122">
                  <c:v>12.4</c:v>
                </c:pt>
                <c:pt idx="123">
                  <c:v>12.5</c:v>
                </c:pt>
                <c:pt idx="124">
                  <c:v>12.6</c:v>
                </c:pt>
                <c:pt idx="125">
                  <c:v>12.7</c:v>
                </c:pt>
                <c:pt idx="126">
                  <c:v>12.8</c:v>
                </c:pt>
                <c:pt idx="127">
                  <c:v>12.9</c:v>
                </c:pt>
                <c:pt idx="128">
                  <c:v>13</c:v>
                </c:pt>
                <c:pt idx="129">
                  <c:v>13.1</c:v>
                </c:pt>
                <c:pt idx="130">
                  <c:v>13.2</c:v>
                </c:pt>
                <c:pt idx="131">
                  <c:v>13.3</c:v>
                </c:pt>
                <c:pt idx="132">
                  <c:v>13.4</c:v>
                </c:pt>
                <c:pt idx="133">
                  <c:v>13.5</c:v>
                </c:pt>
                <c:pt idx="134">
                  <c:v>13.6</c:v>
                </c:pt>
                <c:pt idx="135">
                  <c:v>13.7</c:v>
                </c:pt>
                <c:pt idx="136">
                  <c:v>13.8</c:v>
                </c:pt>
                <c:pt idx="137">
                  <c:v>13.9</c:v>
                </c:pt>
                <c:pt idx="138">
                  <c:v>14</c:v>
                </c:pt>
                <c:pt idx="139">
                  <c:v>14.1</c:v>
                </c:pt>
                <c:pt idx="140">
                  <c:v>14.2</c:v>
                </c:pt>
                <c:pt idx="141">
                  <c:v>14.3</c:v>
                </c:pt>
                <c:pt idx="142">
                  <c:v>14.4</c:v>
                </c:pt>
                <c:pt idx="143">
                  <c:v>14.5</c:v>
                </c:pt>
                <c:pt idx="144">
                  <c:v>14.6</c:v>
                </c:pt>
                <c:pt idx="145">
                  <c:v>14.7</c:v>
                </c:pt>
                <c:pt idx="146">
                  <c:v>14.8</c:v>
                </c:pt>
                <c:pt idx="147">
                  <c:v>14.9</c:v>
                </c:pt>
                <c:pt idx="148">
                  <c:v>15</c:v>
                </c:pt>
                <c:pt idx="149">
                  <c:v>15.1</c:v>
                </c:pt>
                <c:pt idx="150">
                  <c:v>15.2</c:v>
                </c:pt>
                <c:pt idx="151">
                  <c:v>15.3</c:v>
                </c:pt>
                <c:pt idx="152">
                  <c:v>15.4</c:v>
                </c:pt>
                <c:pt idx="153">
                  <c:v>15.5</c:v>
                </c:pt>
                <c:pt idx="154">
                  <c:v>15.6</c:v>
                </c:pt>
                <c:pt idx="155">
                  <c:v>15.7</c:v>
                </c:pt>
                <c:pt idx="156">
                  <c:v>15.8</c:v>
                </c:pt>
                <c:pt idx="157">
                  <c:v>15.9</c:v>
                </c:pt>
                <c:pt idx="158">
                  <c:v>16</c:v>
                </c:pt>
                <c:pt idx="159">
                  <c:v>16.100000000000001</c:v>
                </c:pt>
                <c:pt idx="160">
                  <c:v>16.2</c:v>
                </c:pt>
                <c:pt idx="161">
                  <c:v>16.3</c:v>
                </c:pt>
                <c:pt idx="162">
                  <c:v>16.399999999999999</c:v>
                </c:pt>
                <c:pt idx="163">
                  <c:v>16.5</c:v>
                </c:pt>
                <c:pt idx="164">
                  <c:v>16.600000000000001</c:v>
                </c:pt>
                <c:pt idx="165">
                  <c:v>16.7</c:v>
                </c:pt>
                <c:pt idx="166">
                  <c:v>16.8</c:v>
                </c:pt>
                <c:pt idx="167">
                  <c:v>16.899999999999999</c:v>
                </c:pt>
                <c:pt idx="168">
                  <c:v>17</c:v>
                </c:pt>
                <c:pt idx="169">
                  <c:v>17.100000000000001</c:v>
                </c:pt>
                <c:pt idx="170">
                  <c:v>17.2</c:v>
                </c:pt>
                <c:pt idx="171">
                  <c:v>17.3</c:v>
                </c:pt>
                <c:pt idx="172">
                  <c:v>17.399999999999999</c:v>
                </c:pt>
                <c:pt idx="173">
                  <c:v>17.5</c:v>
                </c:pt>
                <c:pt idx="174">
                  <c:v>17.600000000000001</c:v>
                </c:pt>
                <c:pt idx="175">
                  <c:v>17.7</c:v>
                </c:pt>
                <c:pt idx="176">
                  <c:v>17.8</c:v>
                </c:pt>
                <c:pt idx="177">
                  <c:v>17.899999999999999</c:v>
                </c:pt>
                <c:pt idx="178">
                  <c:v>18</c:v>
                </c:pt>
                <c:pt idx="179">
                  <c:v>18.100000000000001</c:v>
                </c:pt>
                <c:pt idx="180">
                  <c:v>18.2</c:v>
                </c:pt>
                <c:pt idx="181">
                  <c:v>18.3</c:v>
                </c:pt>
                <c:pt idx="182">
                  <c:v>18.399999999999999</c:v>
                </c:pt>
                <c:pt idx="183">
                  <c:v>18.5</c:v>
                </c:pt>
                <c:pt idx="184">
                  <c:v>18.600000000000001</c:v>
                </c:pt>
                <c:pt idx="185">
                  <c:v>18.7</c:v>
                </c:pt>
                <c:pt idx="186">
                  <c:v>18.8</c:v>
                </c:pt>
                <c:pt idx="187">
                  <c:v>18.899999999999999</c:v>
                </c:pt>
                <c:pt idx="188">
                  <c:v>19</c:v>
                </c:pt>
                <c:pt idx="189">
                  <c:v>19.100000000000001</c:v>
                </c:pt>
                <c:pt idx="190">
                  <c:v>19.2</c:v>
                </c:pt>
                <c:pt idx="191">
                  <c:v>19.3</c:v>
                </c:pt>
                <c:pt idx="192">
                  <c:v>19.399999999999999</c:v>
                </c:pt>
                <c:pt idx="193">
                  <c:v>19.5</c:v>
                </c:pt>
                <c:pt idx="194">
                  <c:v>19.600000000000001</c:v>
                </c:pt>
                <c:pt idx="195">
                  <c:v>19.7</c:v>
                </c:pt>
                <c:pt idx="196">
                  <c:v>19.8</c:v>
                </c:pt>
                <c:pt idx="197">
                  <c:v>19.899999999999999</c:v>
                </c:pt>
                <c:pt idx="198">
                  <c:v>20</c:v>
                </c:pt>
                <c:pt idx="199">
                  <c:v>20.100000000000001</c:v>
                </c:pt>
                <c:pt idx="200">
                  <c:v>20.2</c:v>
                </c:pt>
                <c:pt idx="201">
                  <c:v>20.3</c:v>
                </c:pt>
                <c:pt idx="202">
                  <c:v>20.399999999999999</c:v>
                </c:pt>
                <c:pt idx="203">
                  <c:v>20.5</c:v>
                </c:pt>
                <c:pt idx="204">
                  <c:v>20.6</c:v>
                </c:pt>
                <c:pt idx="205">
                  <c:v>20.7</c:v>
                </c:pt>
                <c:pt idx="206">
                  <c:v>20.8</c:v>
                </c:pt>
                <c:pt idx="207">
                  <c:v>20.9</c:v>
                </c:pt>
                <c:pt idx="208">
                  <c:v>21</c:v>
                </c:pt>
                <c:pt idx="209">
                  <c:v>21.1</c:v>
                </c:pt>
                <c:pt idx="210">
                  <c:v>21.2</c:v>
                </c:pt>
                <c:pt idx="211">
                  <c:v>21.3</c:v>
                </c:pt>
                <c:pt idx="212">
                  <c:v>21.4</c:v>
                </c:pt>
                <c:pt idx="213">
                  <c:v>21.5</c:v>
                </c:pt>
                <c:pt idx="214">
                  <c:v>21.6</c:v>
                </c:pt>
                <c:pt idx="215">
                  <c:v>21.7</c:v>
                </c:pt>
                <c:pt idx="216">
                  <c:v>21.8</c:v>
                </c:pt>
                <c:pt idx="217">
                  <c:v>21.9</c:v>
                </c:pt>
                <c:pt idx="218">
                  <c:v>22</c:v>
                </c:pt>
                <c:pt idx="219">
                  <c:v>22.1</c:v>
                </c:pt>
                <c:pt idx="220">
                  <c:v>22.2</c:v>
                </c:pt>
                <c:pt idx="221">
                  <c:v>22.3</c:v>
                </c:pt>
                <c:pt idx="222">
                  <c:v>22.4</c:v>
                </c:pt>
                <c:pt idx="223">
                  <c:v>22.5</c:v>
                </c:pt>
                <c:pt idx="224">
                  <c:v>22.6</c:v>
                </c:pt>
                <c:pt idx="225">
                  <c:v>22.7</c:v>
                </c:pt>
                <c:pt idx="226">
                  <c:v>22.8</c:v>
                </c:pt>
                <c:pt idx="227">
                  <c:v>22.9</c:v>
                </c:pt>
                <c:pt idx="228">
                  <c:v>23</c:v>
                </c:pt>
                <c:pt idx="229">
                  <c:v>23.1</c:v>
                </c:pt>
                <c:pt idx="230">
                  <c:v>23.2</c:v>
                </c:pt>
                <c:pt idx="231">
                  <c:v>23.3</c:v>
                </c:pt>
                <c:pt idx="232">
                  <c:v>23.4</c:v>
                </c:pt>
                <c:pt idx="233">
                  <c:v>23.5</c:v>
                </c:pt>
                <c:pt idx="234">
                  <c:v>23.6</c:v>
                </c:pt>
                <c:pt idx="235">
                  <c:v>23.7</c:v>
                </c:pt>
                <c:pt idx="236">
                  <c:v>23.8</c:v>
                </c:pt>
                <c:pt idx="237">
                  <c:v>23.9</c:v>
                </c:pt>
                <c:pt idx="238">
                  <c:v>24</c:v>
                </c:pt>
                <c:pt idx="239">
                  <c:v>24.1</c:v>
                </c:pt>
                <c:pt idx="240">
                  <c:v>24.2</c:v>
                </c:pt>
                <c:pt idx="241">
                  <c:v>24.3</c:v>
                </c:pt>
                <c:pt idx="242">
                  <c:v>24.4</c:v>
                </c:pt>
                <c:pt idx="243">
                  <c:v>24.5</c:v>
                </c:pt>
                <c:pt idx="244">
                  <c:v>24.6</c:v>
                </c:pt>
                <c:pt idx="245">
                  <c:v>24.7</c:v>
                </c:pt>
                <c:pt idx="246">
                  <c:v>24.8</c:v>
                </c:pt>
                <c:pt idx="247">
                  <c:v>24.9</c:v>
                </c:pt>
                <c:pt idx="248">
                  <c:v>25</c:v>
                </c:pt>
                <c:pt idx="249">
                  <c:v>25.1</c:v>
                </c:pt>
                <c:pt idx="250">
                  <c:v>25.2</c:v>
                </c:pt>
                <c:pt idx="251">
                  <c:v>25.3</c:v>
                </c:pt>
                <c:pt idx="252">
                  <c:v>25.4</c:v>
                </c:pt>
                <c:pt idx="253">
                  <c:v>25.5</c:v>
                </c:pt>
                <c:pt idx="254">
                  <c:v>25.6</c:v>
                </c:pt>
                <c:pt idx="255">
                  <c:v>25.7</c:v>
                </c:pt>
                <c:pt idx="256">
                  <c:v>25.8</c:v>
                </c:pt>
                <c:pt idx="257">
                  <c:v>25.9</c:v>
                </c:pt>
                <c:pt idx="258">
                  <c:v>26</c:v>
                </c:pt>
                <c:pt idx="259">
                  <c:v>26.1</c:v>
                </c:pt>
                <c:pt idx="260">
                  <c:v>26.2</c:v>
                </c:pt>
                <c:pt idx="261">
                  <c:v>26.3</c:v>
                </c:pt>
                <c:pt idx="262">
                  <c:v>26.4</c:v>
                </c:pt>
                <c:pt idx="263">
                  <c:v>26.5</c:v>
                </c:pt>
                <c:pt idx="264">
                  <c:v>26.6</c:v>
                </c:pt>
                <c:pt idx="265">
                  <c:v>26.7</c:v>
                </c:pt>
                <c:pt idx="266">
                  <c:v>26.8</c:v>
                </c:pt>
                <c:pt idx="267">
                  <c:v>26.9</c:v>
                </c:pt>
                <c:pt idx="268">
                  <c:v>27</c:v>
                </c:pt>
                <c:pt idx="269">
                  <c:v>27.1</c:v>
                </c:pt>
                <c:pt idx="270">
                  <c:v>27.2</c:v>
                </c:pt>
                <c:pt idx="271">
                  <c:v>27.3</c:v>
                </c:pt>
                <c:pt idx="272">
                  <c:v>27.4</c:v>
                </c:pt>
                <c:pt idx="273">
                  <c:v>27.5</c:v>
                </c:pt>
                <c:pt idx="274">
                  <c:v>27.6</c:v>
                </c:pt>
                <c:pt idx="275">
                  <c:v>27.7</c:v>
                </c:pt>
                <c:pt idx="276">
                  <c:v>27.8</c:v>
                </c:pt>
                <c:pt idx="277">
                  <c:v>27.9</c:v>
                </c:pt>
                <c:pt idx="278">
                  <c:v>28</c:v>
                </c:pt>
                <c:pt idx="279">
                  <c:v>28.1</c:v>
                </c:pt>
                <c:pt idx="280">
                  <c:v>28.2</c:v>
                </c:pt>
                <c:pt idx="281">
                  <c:v>28.3</c:v>
                </c:pt>
                <c:pt idx="282">
                  <c:v>28.4</c:v>
                </c:pt>
                <c:pt idx="283">
                  <c:v>28.5</c:v>
                </c:pt>
                <c:pt idx="284">
                  <c:v>28.6</c:v>
                </c:pt>
                <c:pt idx="285">
                  <c:v>28.7</c:v>
                </c:pt>
                <c:pt idx="286">
                  <c:v>28.8</c:v>
                </c:pt>
                <c:pt idx="287">
                  <c:v>28.9</c:v>
                </c:pt>
                <c:pt idx="288">
                  <c:v>29</c:v>
                </c:pt>
                <c:pt idx="289">
                  <c:v>29.1</c:v>
                </c:pt>
                <c:pt idx="290">
                  <c:v>29.2</c:v>
                </c:pt>
                <c:pt idx="291">
                  <c:v>29.3</c:v>
                </c:pt>
                <c:pt idx="292">
                  <c:v>29.4</c:v>
                </c:pt>
                <c:pt idx="293">
                  <c:v>29.5</c:v>
                </c:pt>
                <c:pt idx="294">
                  <c:v>29.6</c:v>
                </c:pt>
                <c:pt idx="295">
                  <c:v>29.7</c:v>
                </c:pt>
                <c:pt idx="296">
                  <c:v>29.8</c:v>
                </c:pt>
                <c:pt idx="297">
                  <c:v>29.9</c:v>
                </c:pt>
                <c:pt idx="298">
                  <c:v>30</c:v>
                </c:pt>
                <c:pt idx="299">
                  <c:v>30.1</c:v>
                </c:pt>
                <c:pt idx="300">
                  <c:v>30.2</c:v>
                </c:pt>
                <c:pt idx="301">
                  <c:v>30.3</c:v>
                </c:pt>
                <c:pt idx="302">
                  <c:v>30.4</c:v>
                </c:pt>
                <c:pt idx="303">
                  <c:v>30.5</c:v>
                </c:pt>
                <c:pt idx="304">
                  <c:v>30.6</c:v>
                </c:pt>
                <c:pt idx="305">
                  <c:v>30.7</c:v>
                </c:pt>
                <c:pt idx="306">
                  <c:v>30.8</c:v>
                </c:pt>
                <c:pt idx="307">
                  <c:v>30.9</c:v>
                </c:pt>
                <c:pt idx="308">
                  <c:v>31</c:v>
                </c:pt>
                <c:pt idx="309">
                  <c:v>31.1</c:v>
                </c:pt>
                <c:pt idx="310">
                  <c:v>31.2</c:v>
                </c:pt>
                <c:pt idx="311">
                  <c:v>31.3</c:v>
                </c:pt>
                <c:pt idx="312">
                  <c:v>31.4</c:v>
                </c:pt>
                <c:pt idx="313">
                  <c:v>31.5</c:v>
                </c:pt>
                <c:pt idx="314">
                  <c:v>31.6</c:v>
                </c:pt>
                <c:pt idx="315">
                  <c:v>31.7</c:v>
                </c:pt>
                <c:pt idx="316">
                  <c:v>31.8</c:v>
                </c:pt>
                <c:pt idx="317">
                  <c:v>31.9</c:v>
                </c:pt>
                <c:pt idx="318">
                  <c:v>32</c:v>
                </c:pt>
                <c:pt idx="319">
                  <c:v>32.1</c:v>
                </c:pt>
                <c:pt idx="320">
                  <c:v>32.200000000000003</c:v>
                </c:pt>
                <c:pt idx="321">
                  <c:v>32.299999999999997</c:v>
                </c:pt>
                <c:pt idx="322">
                  <c:v>32.4</c:v>
                </c:pt>
                <c:pt idx="323">
                  <c:v>32.5</c:v>
                </c:pt>
                <c:pt idx="324">
                  <c:v>32.6</c:v>
                </c:pt>
                <c:pt idx="325">
                  <c:v>32.700000000000003</c:v>
                </c:pt>
                <c:pt idx="326">
                  <c:v>32.799999999999997</c:v>
                </c:pt>
                <c:pt idx="327">
                  <c:v>32.9</c:v>
                </c:pt>
                <c:pt idx="328">
                  <c:v>33</c:v>
                </c:pt>
                <c:pt idx="329">
                  <c:v>33.1</c:v>
                </c:pt>
                <c:pt idx="330">
                  <c:v>33.200000000000003</c:v>
                </c:pt>
                <c:pt idx="331">
                  <c:v>33.299999999999997</c:v>
                </c:pt>
                <c:pt idx="332">
                  <c:v>33.4</c:v>
                </c:pt>
                <c:pt idx="333">
                  <c:v>33.5</c:v>
                </c:pt>
                <c:pt idx="334">
                  <c:v>33.6</c:v>
                </c:pt>
                <c:pt idx="335">
                  <c:v>33.700000000000003</c:v>
                </c:pt>
                <c:pt idx="336">
                  <c:v>33.799999999999997</c:v>
                </c:pt>
                <c:pt idx="337">
                  <c:v>33.9</c:v>
                </c:pt>
                <c:pt idx="338">
                  <c:v>34</c:v>
                </c:pt>
                <c:pt idx="339">
                  <c:v>34.1</c:v>
                </c:pt>
                <c:pt idx="340">
                  <c:v>34.200000000000003</c:v>
                </c:pt>
                <c:pt idx="341">
                  <c:v>34.299999999999997</c:v>
                </c:pt>
                <c:pt idx="342">
                  <c:v>34.4</c:v>
                </c:pt>
                <c:pt idx="343">
                  <c:v>34.5</c:v>
                </c:pt>
                <c:pt idx="344">
                  <c:v>34.6</c:v>
                </c:pt>
                <c:pt idx="345">
                  <c:v>34.700000000000003</c:v>
                </c:pt>
                <c:pt idx="346">
                  <c:v>34.799999999999997</c:v>
                </c:pt>
                <c:pt idx="347">
                  <c:v>34.9</c:v>
                </c:pt>
                <c:pt idx="348">
                  <c:v>35</c:v>
                </c:pt>
                <c:pt idx="349">
                  <c:v>35.1</c:v>
                </c:pt>
                <c:pt idx="350">
                  <c:v>35.200000000000003</c:v>
                </c:pt>
                <c:pt idx="351">
                  <c:v>35.299999999999997</c:v>
                </c:pt>
                <c:pt idx="352">
                  <c:v>35.4</c:v>
                </c:pt>
                <c:pt idx="353">
                  <c:v>35.5</c:v>
                </c:pt>
                <c:pt idx="354">
                  <c:v>35.6</c:v>
                </c:pt>
                <c:pt idx="355">
                  <c:v>35.700000000000003</c:v>
                </c:pt>
                <c:pt idx="356">
                  <c:v>35.799999999999997</c:v>
                </c:pt>
                <c:pt idx="357">
                  <c:v>35.9</c:v>
                </c:pt>
                <c:pt idx="358">
                  <c:v>36</c:v>
                </c:pt>
                <c:pt idx="359">
                  <c:v>36.1</c:v>
                </c:pt>
                <c:pt idx="360">
                  <c:v>36.200000000000003</c:v>
                </c:pt>
                <c:pt idx="361">
                  <c:v>36.299999999999997</c:v>
                </c:pt>
                <c:pt idx="362">
                  <c:v>36.4</c:v>
                </c:pt>
                <c:pt idx="363">
                  <c:v>36.5</c:v>
                </c:pt>
                <c:pt idx="364">
                  <c:v>36.6</c:v>
                </c:pt>
                <c:pt idx="365">
                  <c:v>36.700000000000003</c:v>
                </c:pt>
                <c:pt idx="366">
                  <c:v>36.799999999999997</c:v>
                </c:pt>
                <c:pt idx="367">
                  <c:v>36.9</c:v>
                </c:pt>
                <c:pt idx="368">
                  <c:v>37</c:v>
                </c:pt>
                <c:pt idx="369">
                  <c:v>37.1</c:v>
                </c:pt>
                <c:pt idx="370">
                  <c:v>37.200000000000003</c:v>
                </c:pt>
                <c:pt idx="371">
                  <c:v>37.299999999999997</c:v>
                </c:pt>
                <c:pt idx="372">
                  <c:v>37.4</c:v>
                </c:pt>
                <c:pt idx="373">
                  <c:v>37.5</c:v>
                </c:pt>
                <c:pt idx="374">
                  <c:v>37.6</c:v>
                </c:pt>
                <c:pt idx="375">
                  <c:v>37.700000000000003</c:v>
                </c:pt>
                <c:pt idx="376">
                  <c:v>37.799999999999997</c:v>
                </c:pt>
                <c:pt idx="377">
                  <c:v>37.9</c:v>
                </c:pt>
                <c:pt idx="378">
                  <c:v>38</c:v>
                </c:pt>
                <c:pt idx="379">
                  <c:v>38.1</c:v>
                </c:pt>
                <c:pt idx="380">
                  <c:v>38.200000000000003</c:v>
                </c:pt>
                <c:pt idx="381">
                  <c:v>38.299999999999997</c:v>
                </c:pt>
                <c:pt idx="382">
                  <c:v>38.4</c:v>
                </c:pt>
                <c:pt idx="383">
                  <c:v>38.5</c:v>
                </c:pt>
                <c:pt idx="384">
                  <c:v>38.6</c:v>
                </c:pt>
                <c:pt idx="385">
                  <c:v>38.700000000000003</c:v>
                </c:pt>
                <c:pt idx="386">
                  <c:v>38.799999999999997</c:v>
                </c:pt>
                <c:pt idx="387">
                  <c:v>38.9</c:v>
                </c:pt>
                <c:pt idx="388">
                  <c:v>39</c:v>
                </c:pt>
                <c:pt idx="389">
                  <c:v>39.1</c:v>
                </c:pt>
                <c:pt idx="390">
                  <c:v>39.200000000000003</c:v>
                </c:pt>
                <c:pt idx="391">
                  <c:v>39.299999999999997</c:v>
                </c:pt>
                <c:pt idx="392">
                  <c:v>39.4</c:v>
                </c:pt>
                <c:pt idx="393">
                  <c:v>39.5</c:v>
                </c:pt>
                <c:pt idx="394">
                  <c:v>39.6</c:v>
                </c:pt>
                <c:pt idx="395">
                  <c:v>39.700000000000003</c:v>
                </c:pt>
                <c:pt idx="396">
                  <c:v>39.799999999999997</c:v>
                </c:pt>
                <c:pt idx="397">
                  <c:v>39.9</c:v>
                </c:pt>
                <c:pt idx="398">
                  <c:v>40</c:v>
                </c:pt>
                <c:pt idx="399">
                  <c:v>40.1</c:v>
                </c:pt>
                <c:pt idx="400">
                  <c:v>40.200000000000003</c:v>
                </c:pt>
                <c:pt idx="401">
                  <c:v>40.299999999999997</c:v>
                </c:pt>
                <c:pt idx="402">
                  <c:v>40.4</c:v>
                </c:pt>
                <c:pt idx="403">
                  <c:v>40.5</c:v>
                </c:pt>
                <c:pt idx="404">
                  <c:v>40.6</c:v>
                </c:pt>
                <c:pt idx="405">
                  <c:v>40.700000000000003</c:v>
                </c:pt>
                <c:pt idx="406">
                  <c:v>40.799999999999997</c:v>
                </c:pt>
                <c:pt idx="407">
                  <c:v>40.9</c:v>
                </c:pt>
                <c:pt idx="408">
                  <c:v>41</c:v>
                </c:pt>
                <c:pt idx="409">
                  <c:v>41.1</c:v>
                </c:pt>
                <c:pt idx="410">
                  <c:v>41.2</c:v>
                </c:pt>
                <c:pt idx="411">
                  <c:v>41.3</c:v>
                </c:pt>
                <c:pt idx="412">
                  <c:v>41.4</c:v>
                </c:pt>
                <c:pt idx="413">
                  <c:v>41.5</c:v>
                </c:pt>
                <c:pt idx="414">
                  <c:v>41.6</c:v>
                </c:pt>
                <c:pt idx="415">
                  <c:v>41.7</c:v>
                </c:pt>
                <c:pt idx="416">
                  <c:v>41.8</c:v>
                </c:pt>
                <c:pt idx="417">
                  <c:v>41.9</c:v>
                </c:pt>
                <c:pt idx="418">
                  <c:v>42</c:v>
                </c:pt>
                <c:pt idx="419">
                  <c:v>42.1</c:v>
                </c:pt>
                <c:pt idx="420">
                  <c:v>42.2</c:v>
                </c:pt>
                <c:pt idx="421">
                  <c:v>42.3</c:v>
                </c:pt>
                <c:pt idx="422">
                  <c:v>42.4</c:v>
                </c:pt>
                <c:pt idx="423">
                  <c:v>42.5</c:v>
                </c:pt>
                <c:pt idx="424">
                  <c:v>42.6</c:v>
                </c:pt>
                <c:pt idx="425">
                  <c:v>42.7</c:v>
                </c:pt>
                <c:pt idx="426">
                  <c:v>42.8</c:v>
                </c:pt>
                <c:pt idx="427">
                  <c:v>42.9</c:v>
                </c:pt>
                <c:pt idx="428">
                  <c:v>43</c:v>
                </c:pt>
                <c:pt idx="429">
                  <c:v>43.1</c:v>
                </c:pt>
                <c:pt idx="430">
                  <c:v>43.2</c:v>
                </c:pt>
                <c:pt idx="431">
                  <c:v>43.3</c:v>
                </c:pt>
                <c:pt idx="432">
                  <c:v>43.4</c:v>
                </c:pt>
                <c:pt idx="433">
                  <c:v>43.5</c:v>
                </c:pt>
                <c:pt idx="434">
                  <c:v>43.6</c:v>
                </c:pt>
                <c:pt idx="435">
                  <c:v>43.7</c:v>
                </c:pt>
                <c:pt idx="436">
                  <c:v>43.8</c:v>
                </c:pt>
                <c:pt idx="437">
                  <c:v>43.9</c:v>
                </c:pt>
                <c:pt idx="438">
                  <c:v>44</c:v>
                </c:pt>
                <c:pt idx="439">
                  <c:v>44.1</c:v>
                </c:pt>
                <c:pt idx="440">
                  <c:v>44.2</c:v>
                </c:pt>
                <c:pt idx="441">
                  <c:v>44.3</c:v>
                </c:pt>
                <c:pt idx="442">
                  <c:v>44.4</c:v>
                </c:pt>
                <c:pt idx="443">
                  <c:v>44.5</c:v>
                </c:pt>
                <c:pt idx="444">
                  <c:v>44.6</c:v>
                </c:pt>
                <c:pt idx="445">
                  <c:v>44.7</c:v>
                </c:pt>
                <c:pt idx="446">
                  <c:v>44.8</c:v>
                </c:pt>
                <c:pt idx="447">
                  <c:v>44.9</c:v>
                </c:pt>
                <c:pt idx="448">
                  <c:v>45</c:v>
                </c:pt>
                <c:pt idx="449">
                  <c:v>45.1</c:v>
                </c:pt>
                <c:pt idx="450">
                  <c:v>45.2</c:v>
                </c:pt>
                <c:pt idx="451">
                  <c:v>45.3</c:v>
                </c:pt>
                <c:pt idx="452">
                  <c:v>45.4</c:v>
                </c:pt>
                <c:pt idx="453">
                  <c:v>45.5</c:v>
                </c:pt>
                <c:pt idx="454">
                  <c:v>45.6</c:v>
                </c:pt>
                <c:pt idx="455">
                  <c:v>45.7</c:v>
                </c:pt>
                <c:pt idx="456">
                  <c:v>45.8</c:v>
                </c:pt>
                <c:pt idx="457">
                  <c:v>45.9</c:v>
                </c:pt>
                <c:pt idx="458">
                  <c:v>46</c:v>
                </c:pt>
                <c:pt idx="459">
                  <c:v>46.1</c:v>
                </c:pt>
                <c:pt idx="460">
                  <c:v>46.2</c:v>
                </c:pt>
                <c:pt idx="461">
                  <c:v>46.3</c:v>
                </c:pt>
                <c:pt idx="462">
                  <c:v>46.4</c:v>
                </c:pt>
                <c:pt idx="463">
                  <c:v>46.5</c:v>
                </c:pt>
                <c:pt idx="464">
                  <c:v>46.6</c:v>
                </c:pt>
                <c:pt idx="465">
                  <c:v>46.7</c:v>
                </c:pt>
                <c:pt idx="466">
                  <c:v>46.8</c:v>
                </c:pt>
                <c:pt idx="467">
                  <c:v>46.9</c:v>
                </c:pt>
                <c:pt idx="468">
                  <c:v>47</c:v>
                </c:pt>
                <c:pt idx="469">
                  <c:v>47.1</c:v>
                </c:pt>
                <c:pt idx="470">
                  <c:v>47.2</c:v>
                </c:pt>
                <c:pt idx="471">
                  <c:v>47.3</c:v>
                </c:pt>
                <c:pt idx="472">
                  <c:v>47.4</c:v>
                </c:pt>
                <c:pt idx="473">
                  <c:v>47.5</c:v>
                </c:pt>
                <c:pt idx="474">
                  <c:v>47.6</c:v>
                </c:pt>
                <c:pt idx="475">
                  <c:v>47.7</c:v>
                </c:pt>
                <c:pt idx="476">
                  <c:v>47.8</c:v>
                </c:pt>
                <c:pt idx="477">
                  <c:v>47.9</c:v>
                </c:pt>
                <c:pt idx="478">
                  <c:v>48</c:v>
                </c:pt>
                <c:pt idx="479">
                  <c:v>48.1</c:v>
                </c:pt>
                <c:pt idx="480">
                  <c:v>48.2</c:v>
                </c:pt>
                <c:pt idx="481">
                  <c:v>48.3</c:v>
                </c:pt>
                <c:pt idx="482">
                  <c:v>48.4</c:v>
                </c:pt>
                <c:pt idx="483">
                  <c:v>48.5</c:v>
                </c:pt>
                <c:pt idx="484">
                  <c:v>48.6</c:v>
                </c:pt>
                <c:pt idx="485">
                  <c:v>48.7</c:v>
                </c:pt>
                <c:pt idx="486">
                  <c:v>48.8</c:v>
                </c:pt>
                <c:pt idx="487">
                  <c:v>48.9</c:v>
                </c:pt>
                <c:pt idx="488">
                  <c:v>49</c:v>
                </c:pt>
                <c:pt idx="489">
                  <c:v>49.1</c:v>
                </c:pt>
                <c:pt idx="490">
                  <c:v>49.2</c:v>
                </c:pt>
                <c:pt idx="491">
                  <c:v>49.3</c:v>
                </c:pt>
                <c:pt idx="492">
                  <c:v>49.4</c:v>
                </c:pt>
                <c:pt idx="493">
                  <c:v>49.5</c:v>
                </c:pt>
                <c:pt idx="494">
                  <c:v>49.6</c:v>
                </c:pt>
                <c:pt idx="495">
                  <c:v>49.7</c:v>
                </c:pt>
                <c:pt idx="496">
                  <c:v>49.8</c:v>
                </c:pt>
                <c:pt idx="497">
                  <c:v>49.9</c:v>
                </c:pt>
                <c:pt idx="498">
                  <c:v>50</c:v>
                </c:pt>
                <c:pt idx="499">
                  <c:v>50.1</c:v>
                </c:pt>
                <c:pt idx="500">
                  <c:v>50.2</c:v>
                </c:pt>
                <c:pt idx="501">
                  <c:v>50.3</c:v>
                </c:pt>
                <c:pt idx="502">
                  <c:v>50.4</c:v>
                </c:pt>
                <c:pt idx="503">
                  <c:v>50.5</c:v>
                </c:pt>
                <c:pt idx="504">
                  <c:v>50.6</c:v>
                </c:pt>
                <c:pt idx="505">
                  <c:v>50.7</c:v>
                </c:pt>
                <c:pt idx="506">
                  <c:v>50.8</c:v>
                </c:pt>
                <c:pt idx="507">
                  <c:v>50.9</c:v>
                </c:pt>
                <c:pt idx="508">
                  <c:v>51</c:v>
                </c:pt>
                <c:pt idx="509">
                  <c:v>51.1</c:v>
                </c:pt>
                <c:pt idx="510">
                  <c:v>51.2</c:v>
                </c:pt>
                <c:pt idx="511">
                  <c:v>51.3</c:v>
                </c:pt>
                <c:pt idx="512">
                  <c:v>51.4</c:v>
                </c:pt>
                <c:pt idx="513">
                  <c:v>51.5</c:v>
                </c:pt>
                <c:pt idx="514">
                  <c:v>51.6</c:v>
                </c:pt>
                <c:pt idx="515">
                  <c:v>51.7</c:v>
                </c:pt>
                <c:pt idx="516">
                  <c:v>51.8</c:v>
                </c:pt>
                <c:pt idx="517">
                  <c:v>51.9</c:v>
                </c:pt>
                <c:pt idx="518">
                  <c:v>52</c:v>
                </c:pt>
                <c:pt idx="519">
                  <c:v>52.1</c:v>
                </c:pt>
                <c:pt idx="520">
                  <c:v>52.2</c:v>
                </c:pt>
                <c:pt idx="521">
                  <c:v>52.3</c:v>
                </c:pt>
                <c:pt idx="522">
                  <c:v>52.4</c:v>
                </c:pt>
                <c:pt idx="523">
                  <c:v>52.5</c:v>
                </c:pt>
                <c:pt idx="524">
                  <c:v>52.6</c:v>
                </c:pt>
                <c:pt idx="525">
                  <c:v>52.7</c:v>
                </c:pt>
                <c:pt idx="526">
                  <c:v>52.8</c:v>
                </c:pt>
                <c:pt idx="527">
                  <c:v>52.9</c:v>
                </c:pt>
                <c:pt idx="528">
                  <c:v>53</c:v>
                </c:pt>
                <c:pt idx="529">
                  <c:v>53.1</c:v>
                </c:pt>
                <c:pt idx="530">
                  <c:v>53.2</c:v>
                </c:pt>
                <c:pt idx="531">
                  <c:v>53.3</c:v>
                </c:pt>
                <c:pt idx="532">
                  <c:v>53.4</c:v>
                </c:pt>
                <c:pt idx="533">
                  <c:v>53.5</c:v>
                </c:pt>
                <c:pt idx="534">
                  <c:v>53.6</c:v>
                </c:pt>
                <c:pt idx="535">
                  <c:v>53.7</c:v>
                </c:pt>
                <c:pt idx="536">
                  <c:v>53.8</c:v>
                </c:pt>
                <c:pt idx="537">
                  <c:v>53.9</c:v>
                </c:pt>
                <c:pt idx="538">
                  <c:v>54</c:v>
                </c:pt>
                <c:pt idx="539">
                  <c:v>54.1</c:v>
                </c:pt>
                <c:pt idx="540">
                  <c:v>54.2</c:v>
                </c:pt>
                <c:pt idx="541">
                  <c:v>54.3</c:v>
                </c:pt>
                <c:pt idx="542">
                  <c:v>54.4</c:v>
                </c:pt>
                <c:pt idx="543">
                  <c:v>54.5</c:v>
                </c:pt>
                <c:pt idx="544">
                  <c:v>54.6</c:v>
                </c:pt>
                <c:pt idx="545">
                  <c:v>54.7</c:v>
                </c:pt>
                <c:pt idx="546">
                  <c:v>54.8</c:v>
                </c:pt>
                <c:pt idx="547">
                  <c:v>54.9</c:v>
                </c:pt>
                <c:pt idx="548">
                  <c:v>55</c:v>
                </c:pt>
                <c:pt idx="549">
                  <c:v>55.1</c:v>
                </c:pt>
                <c:pt idx="550">
                  <c:v>55.2</c:v>
                </c:pt>
                <c:pt idx="551">
                  <c:v>55.3</c:v>
                </c:pt>
                <c:pt idx="552">
                  <c:v>55.4</c:v>
                </c:pt>
                <c:pt idx="553">
                  <c:v>55.5</c:v>
                </c:pt>
                <c:pt idx="554">
                  <c:v>55.6</c:v>
                </c:pt>
                <c:pt idx="555">
                  <c:v>55.7</c:v>
                </c:pt>
                <c:pt idx="556">
                  <c:v>55.8</c:v>
                </c:pt>
                <c:pt idx="557">
                  <c:v>55.9</c:v>
                </c:pt>
                <c:pt idx="558">
                  <c:v>56</c:v>
                </c:pt>
                <c:pt idx="559">
                  <c:v>56.1</c:v>
                </c:pt>
                <c:pt idx="560">
                  <c:v>56.2</c:v>
                </c:pt>
                <c:pt idx="561">
                  <c:v>56.3</c:v>
                </c:pt>
                <c:pt idx="562">
                  <c:v>56.4</c:v>
                </c:pt>
                <c:pt idx="563">
                  <c:v>56.5</c:v>
                </c:pt>
                <c:pt idx="564">
                  <c:v>56.6</c:v>
                </c:pt>
                <c:pt idx="565">
                  <c:v>56.7</c:v>
                </c:pt>
                <c:pt idx="566">
                  <c:v>56.8</c:v>
                </c:pt>
                <c:pt idx="567">
                  <c:v>56.9</c:v>
                </c:pt>
                <c:pt idx="568">
                  <c:v>57</c:v>
                </c:pt>
                <c:pt idx="569">
                  <c:v>57.1</c:v>
                </c:pt>
                <c:pt idx="570">
                  <c:v>57.2</c:v>
                </c:pt>
                <c:pt idx="571">
                  <c:v>57.3</c:v>
                </c:pt>
                <c:pt idx="572">
                  <c:v>57.4</c:v>
                </c:pt>
                <c:pt idx="573">
                  <c:v>57.5</c:v>
                </c:pt>
                <c:pt idx="574">
                  <c:v>57.6</c:v>
                </c:pt>
                <c:pt idx="575">
                  <c:v>57.7</c:v>
                </c:pt>
                <c:pt idx="576">
                  <c:v>57.8</c:v>
                </c:pt>
                <c:pt idx="577">
                  <c:v>57.9</c:v>
                </c:pt>
                <c:pt idx="578">
                  <c:v>58</c:v>
                </c:pt>
                <c:pt idx="579">
                  <c:v>58.1</c:v>
                </c:pt>
                <c:pt idx="580">
                  <c:v>58.2</c:v>
                </c:pt>
                <c:pt idx="581">
                  <c:v>58.3</c:v>
                </c:pt>
                <c:pt idx="582">
                  <c:v>58.4</c:v>
                </c:pt>
                <c:pt idx="583">
                  <c:v>58.5</c:v>
                </c:pt>
                <c:pt idx="584">
                  <c:v>58.6</c:v>
                </c:pt>
                <c:pt idx="585">
                  <c:v>58.7</c:v>
                </c:pt>
                <c:pt idx="586">
                  <c:v>58.8</c:v>
                </c:pt>
                <c:pt idx="587">
                  <c:v>58.9</c:v>
                </c:pt>
                <c:pt idx="588">
                  <c:v>59</c:v>
                </c:pt>
                <c:pt idx="589">
                  <c:v>59.1</c:v>
                </c:pt>
                <c:pt idx="590">
                  <c:v>59.2</c:v>
                </c:pt>
                <c:pt idx="591">
                  <c:v>59.3</c:v>
                </c:pt>
                <c:pt idx="592">
                  <c:v>59.4</c:v>
                </c:pt>
                <c:pt idx="593">
                  <c:v>59.5</c:v>
                </c:pt>
                <c:pt idx="594">
                  <c:v>59.6</c:v>
                </c:pt>
                <c:pt idx="595">
                  <c:v>59.7</c:v>
                </c:pt>
                <c:pt idx="596">
                  <c:v>59.8</c:v>
                </c:pt>
                <c:pt idx="597">
                  <c:v>59.9</c:v>
                </c:pt>
                <c:pt idx="598">
                  <c:v>60</c:v>
                </c:pt>
                <c:pt idx="599">
                  <c:v>60.1</c:v>
                </c:pt>
                <c:pt idx="600">
                  <c:v>60.2</c:v>
                </c:pt>
                <c:pt idx="601">
                  <c:v>60.3</c:v>
                </c:pt>
                <c:pt idx="602">
                  <c:v>60.4</c:v>
                </c:pt>
                <c:pt idx="603">
                  <c:v>60.5</c:v>
                </c:pt>
                <c:pt idx="604">
                  <c:v>60.6</c:v>
                </c:pt>
                <c:pt idx="605">
                  <c:v>60.7</c:v>
                </c:pt>
                <c:pt idx="606">
                  <c:v>60.8</c:v>
                </c:pt>
                <c:pt idx="607">
                  <c:v>60.9</c:v>
                </c:pt>
                <c:pt idx="608">
                  <c:v>61</c:v>
                </c:pt>
                <c:pt idx="609">
                  <c:v>61.1</c:v>
                </c:pt>
                <c:pt idx="610">
                  <c:v>61.2</c:v>
                </c:pt>
                <c:pt idx="611">
                  <c:v>61.3</c:v>
                </c:pt>
                <c:pt idx="612">
                  <c:v>61.4</c:v>
                </c:pt>
                <c:pt idx="613">
                  <c:v>61.5</c:v>
                </c:pt>
                <c:pt idx="614">
                  <c:v>61.6</c:v>
                </c:pt>
                <c:pt idx="615">
                  <c:v>61.7</c:v>
                </c:pt>
                <c:pt idx="616">
                  <c:v>61.8</c:v>
                </c:pt>
                <c:pt idx="617">
                  <c:v>61.9</c:v>
                </c:pt>
                <c:pt idx="618">
                  <c:v>62</c:v>
                </c:pt>
                <c:pt idx="619">
                  <c:v>62.1</c:v>
                </c:pt>
                <c:pt idx="620">
                  <c:v>62.2</c:v>
                </c:pt>
                <c:pt idx="621">
                  <c:v>62.3</c:v>
                </c:pt>
                <c:pt idx="622">
                  <c:v>62.4</c:v>
                </c:pt>
                <c:pt idx="623">
                  <c:v>62.5</c:v>
                </c:pt>
                <c:pt idx="624">
                  <c:v>62.6</c:v>
                </c:pt>
                <c:pt idx="625">
                  <c:v>62.7</c:v>
                </c:pt>
                <c:pt idx="626">
                  <c:v>62.8</c:v>
                </c:pt>
                <c:pt idx="627">
                  <c:v>62.9</c:v>
                </c:pt>
                <c:pt idx="628">
                  <c:v>63</c:v>
                </c:pt>
                <c:pt idx="629">
                  <c:v>63.1</c:v>
                </c:pt>
                <c:pt idx="630">
                  <c:v>63.2</c:v>
                </c:pt>
                <c:pt idx="631">
                  <c:v>63.3</c:v>
                </c:pt>
                <c:pt idx="632">
                  <c:v>63.4</c:v>
                </c:pt>
                <c:pt idx="633">
                  <c:v>63.5</c:v>
                </c:pt>
                <c:pt idx="634">
                  <c:v>63.6</c:v>
                </c:pt>
                <c:pt idx="635">
                  <c:v>63.7</c:v>
                </c:pt>
                <c:pt idx="636">
                  <c:v>63.8</c:v>
                </c:pt>
                <c:pt idx="637">
                  <c:v>63.9</c:v>
                </c:pt>
                <c:pt idx="638">
                  <c:v>64</c:v>
                </c:pt>
                <c:pt idx="639">
                  <c:v>64.099999999999994</c:v>
                </c:pt>
                <c:pt idx="640">
                  <c:v>64.2</c:v>
                </c:pt>
                <c:pt idx="641">
                  <c:v>64.3</c:v>
                </c:pt>
                <c:pt idx="642">
                  <c:v>64.400000000000006</c:v>
                </c:pt>
                <c:pt idx="643">
                  <c:v>64.5</c:v>
                </c:pt>
                <c:pt idx="644">
                  <c:v>64.599999999999994</c:v>
                </c:pt>
                <c:pt idx="645">
                  <c:v>64.7</c:v>
                </c:pt>
                <c:pt idx="646">
                  <c:v>64.8</c:v>
                </c:pt>
                <c:pt idx="647">
                  <c:v>64.900000000000006</c:v>
                </c:pt>
                <c:pt idx="648">
                  <c:v>65</c:v>
                </c:pt>
                <c:pt idx="649">
                  <c:v>65.099999999999994</c:v>
                </c:pt>
                <c:pt idx="650">
                  <c:v>65.2</c:v>
                </c:pt>
                <c:pt idx="651">
                  <c:v>65.3</c:v>
                </c:pt>
                <c:pt idx="652">
                  <c:v>65.400000000000006</c:v>
                </c:pt>
                <c:pt idx="653">
                  <c:v>65.5</c:v>
                </c:pt>
                <c:pt idx="654">
                  <c:v>65.599999999999994</c:v>
                </c:pt>
                <c:pt idx="655">
                  <c:v>65.7</c:v>
                </c:pt>
                <c:pt idx="656">
                  <c:v>65.8</c:v>
                </c:pt>
                <c:pt idx="657">
                  <c:v>65.900000000000006</c:v>
                </c:pt>
                <c:pt idx="658">
                  <c:v>66</c:v>
                </c:pt>
                <c:pt idx="659">
                  <c:v>66.099999999999994</c:v>
                </c:pt>
                <c:pt idx="660">
                  <c:v>66.2</c:v>
                </c:pt>
                <c:pt idx="661">
                  <c:v>66.3</c:v>
                </c:pt>
                <c:pt idx="662">
                  <c:v>66.400000000000006</c:v>
                </c:pt>
                <c:pt idx="663">
                  <c:v>66.5</c:v>
                </c:pt>
                <c:pt idx="664">
                  <c:v>66.599999999999994</c:v>
                </c:pt>
                <c:pt idx="665">
                  <c:v>66.7</c:v>
                </c:pt>
                <c:pt idx="666">
                  <c:v>66.8</c:v>
                </c:pt>
                <c:pt idx="667">
                  <c:v>66.900000000000006</c:v>
                </c:pt>
                <c:pt idx="668">
                  <c:v>67</c:v>
                </c:pt>
                <c:pt idx="669">
                  <c:v>67.099999999999994</c:v>
                </c:pt>
                <c:pt idx="670">
                  <c:v>67.2</c:v>
                </c:pt>
                <c:pt idx="671">
                  <c:v>67.3</c:v>
                </c:pt>
                <c:pt idx="672">
                  <c:v>67.400000000000006</c:v>
                </c:pt>
                <c:pt idx="673">
                  <c:v>67.5</c:v>
                </c:pt>
                <c:pt idx="674">
                  <c:v>67.599999999999994</c:v>
                </c:pt>
                <c:pt idx="675">
                  <c:v>67.7</c:v>
                </c:pt>
                <c:pt idx="676">
                  <c:v>67.8</c:v>
                </c:pt>
                <c:pt idx="677">
                  <c:v>67.900000000000006</c:v>
                </c:pt>
                <c:pt idx="678">
                  <c:v>68</c:v>
                </c:pt>
                <c:pt idx="679">
                  <c:v>68.099999999999994</c:v>
                </c:pt>
                <c:pt idx="680">
                  <c:v>68.2</c:v>
                </c:pt>
                <c:pt idx="681">
                  <c:v>68.3</c:v>
                </c:pt>
                <c:pt idx="682">
                  <c:v>68.400000000000006</c:v>
                </c:pt>
                <c:pt idx="683">
                  <c:v>68.5</c:v>
                </c:pt>
                <c:pt idx="684">
                  <c:v>68.599999999999994</c:v>
                </c:pt>
                <c:pt idx="685">
                  <c:v>68.7</c:v>
                </c:pt>
                <c:pt idx="686">
                  <c:v>68.8</c:v>
                </c:pt>
                <c:pt idx="687">
                  <c:v>68.900000000000006</c:v>
                </c:pt>
                <c:pt idx="688">
                  <c:v>69</c:v>
                </c:pt>
                <c:pt idx="689">
                  <c:v>69.099999999999994</c:v>
                </c:pt>
                <c:pt idx="690">
                  <c:v>69.2</c:v>
                </c:pt>
                <c:pt idx="691">
                  <c:v>69.3</c:v>
                </c:pt>
                <c:pt idx="692">
                  <c:v>69.400000000000006</c:v>
                </c:pt>
                <c:pt idx="693">
                  <c:v>69.5</c:v>
                </c:pt>
                <c:pt idx="694">
                  <c:v>69.599999999999994</c:v>
                </c:pt>
                <c:pt idx="695">
                  <c:v>69.7</c:v>
                </c:pt>
                <c:pt idx="696">
                  <c:v>69.8</c:v>
                </c:pt>
                <c:pt idx="697">
                  <c:v>69.900000000000006</c:v>
                </c:pt>
                <c:pt idx="698">
                  <c:v>70</c:v>
                </c:pt>
                <c:pt idx="699">
                  <c:v>70.099999999999994</c:v>
                </c:pt>
                <c:pt idx="700">
                  <c:v>70.2</c:v>
                </c:pt>
                <c:pt idx="701">
                  <c:v>70.3</c:v>
                </c:pt>
                <c:pt idx="702">
                  <c:v>70.400000000000006</c:v>
                </c:pt>
                <c:pt idx="703">
                  <c:v>70.5</c:v>
                </c:pt>
                <c:pt idx="704">
                  <c:v>70.599999999999994</c:v>
                </c:pt>
                <c:pt idx="705">
                  <c:v>70.7</c:v>
                </c:pt>
                <c:pt idx="706">
                  <c:v>70.8</c:v>
                </c:pt>
                <c:pt idx="707">
                  <c:v>70.900000000000006</c:v>
                </c:pt>
                <c:pt idx="708">
                  <c:v>71</c:v>
                </c:pt>
                <c:pt idx="709">
                  <c:v>71.099999999999994</c:v>
                </c:pt>
                <c:pt idx="710">
                  <c:v>71.2</c:v>
                </c:pt>
                <c:pt idx="711">
                  <c:v>71.3</c:v>
                </c:pt>
                <c:pt idx="712">
                  <c:v>71.400000000000006</c:v>
                </c:pt>
                <c:pt idx="713">
                  <c:v>71.5</c:v>
                </c:pt>
                <c:pt idx="714">
                  <c:v>71.599999999999994</c:v>
                </c:pt>
                <c:pt idx="715">
                  <c:v>71.7</c:v>
                </c:pt>
                <c:pt idx="716">
                  <c:v>71.8</c:v>
                </c:pt>
                <c:pt idx="717">
                  <c:v>71.900000000000006</c:v>
                </c:pt>
                <c:pt idx="718">
                  <c:v>72</c:v>
                </c:pt>
                <c:pt idx="719">
                  <c:v>72.099999999999994</c:v>
                </c:pt>
                <c:pt idx="720">
                  <c:v>72.2</c:v>
                </c:pt>
                <c:pt idx="721">
                  <c:v>72.3</c:v>
                </c:pt>
                <c:pt idx="722">
                  <c:v>72.400000000000006</c:v>
                </c:pt>
                <c:pt idx="723">
                  <c:v>72.5</c:v>
                </c:pt>
                <c:pt idx="724">
                  <c:v>72.599999999999994</c:v>
                </c:pt>
                <c:pt idx="725">
                  <c:v>72.7</c:v>
                </c:pt>
                <c:pt idx="726">
                  <c:v>72.8</c:v>
                </c:pt>
                <c:pt idx="727">
                  <c:v>72.900000000000006</c:v>
                </c:pt>
                <c:pt idx="728">
                  <c:v>73</c:v>
                </c:pt>
                <c:pt idx="729">
                  <c:v>73.099999999999994</c:v>
                </c:pt>
                <c:pt idx="730">
                  <c:v>73.2</c:v>
                </c:pt>
                <c:pt idx="731">
                  <c:v>73.3</c:v>
                </c:pt>
                <c:pt idx="732">
                  <c:v>73.400000000000006</c:v>
                </c:pt>
                <c:pt idx="733">
                  <c:v>73.5</c:v>
                </c:pt>
                <c:pt idx="734">
                  <c:v>73.599999999999994</c:v>
                </c:pt>
                <c:pt idx="735">
                  <c:v>73.7</c:v>
                </c:pt>
                <c:pt idx="736">
                  <c:v>73.8</c:v>
                </c:pt>
                <c:pt idx="737">
                  <c:v>73.900000000000006</c:v>
                </c:pt>
                <c:pt idx="738">
                  <c:v>74</c:v>
                </c:pt>
                <c:pt idx="739">
                  <c:v>74.099999999999994</c:v>
                </c:pt>
                <c:pt idx="740">
                  <c:v>74.2</c:v>
                </c:pt>
                <c:pt idx="741">
                  <c:v>74.3</c:v>
                </c:pt>
                <c:pt idx="742">
                  <c:v>74.400000000000006</c:v>
                </c:pt>
                <c:pt idx="743">
                  <c:v>74.5</c:v>
                </c:pt>
                <c:pt idx="744">
                  <c:v>74.599999999999994</c:v>
                </c:pt>
                <c:pt idx="745">
                  <c:v>74.7</c:v>
                </c:pt>
                <c:pt idx="746">
                  <c:v>74.8</c:v>
                </c:pt>
                <c:pt idx="747">
                  <c:v>74.900000000000006</c:v>
                </c:pt>
                <c:pt idx="748">
                  <c:v>75</c:v>
                </c:pt>
                <c:pt idx="749">
                  <c:v>75.099999999999994</c:v>
                </c:pt>
                <c:pt idx="750">
                  <c:v>75.2</c:v>
                </c:pt>
                <c:pt idx="751">
                  <c:v>75.3</c:v>
                </c:pt>
                <c:pt idx="752">
                  <c:v>75.400000000000006</c:v>
                </c:pt>
                <c:pt idx="753">
                  <c:v>75.5</c:v>
                </c:pt>
                <c:pt idx="754">
                  <c:v>75.599999999999994</c:v>
                </c:pt>
                <c:pt idx="755">
                  <c:v>75.7</c:v>
                </c:pt>
                <c:pt idx="756">
                  <c:v>75.8</c:v>
                </c:pt>
                <c:pt idx="757">
                  <c:v>75.900000000000006</c:v>
                </c:pt>
                <c:pt idx="758">
                  <c:v>76</c:v>
                </c:pt>
                <c:pt idx="759">
                  <c:v>76.099999999999994</c:v>
                </c:pt>
                <c:pt idx="760">
                  <c:v>76.2</c:v>
                </c:pt>
                <c:pt idx="761">
                  <c:v>76.3</c:v>
                </c:pt>
                <c:pt idx="762">
                  <c:v>76.400000000000006</c:v>
                </c:pt>
                <c:pt idx="763">
                  <c:v>76.5</c:v>
                </c:pt>
                <c:pt idx="764">
                  <c:v>76.599999999999994</c:v>
                </c:pt>
                <c:pt idx="765">
                  <c:v>76.7</c:v>
                </c:pt>
                <c:pt idx="766">
                  <c:v>76.8</c:v>
                </c:pt>
                <c:pt idx="767">
                  <c:v>76.900000000000006</c:v>
                </c:pt>
                <c:pt idx="768">
                  <c:v>77</c:v>
                </c:pt>
                <c:pt idx="769">
                  <c:v>77.099999999999994</c:v>
                </c:pt>
                <c:pt idx="770">
                  <c:v>77.2</c:v>
                </c:pt>
                <c:pt idx="771">
                  <c:v>77.3</c:v>
                </c:pt>
                <c:pt idx="772">
                  <c:v>77.400000000000006</c:v>
                </c:pt>
                <c:pt idx="773">
                  <c:v>77.5</c:v>
                </c:pt>
                <c:pt idx="774">
                  <c:v>77.599999999999994</c:v>
                </c:pt>
                <c:pt idx="775">
                  <c:v>77.7</c:v>
                </c:pt>
                <c:pt idx="776">
                  <c:v>77.8</c:v>
                </c:pt>
                <c:pt idx="777">
                  <c:v>77.900000000000006</c:v>
                </c:pt>
                <c:pt idx="778">
                  <c:v>78</c:v>
                </c:pt>
                <c:pt idx="779">
                  <c:v>78.099999999999994</c:v>
                </c:pt>
                <c:pt idx="780">
                  <c:v>78.2</c:v>
                </c:pt>
                <c:pt idx="781">
                  <c:v>78.3</c:v>
                </c:pt>
                <c:pt idx="782">
                  <c:v>78.400000000000006</c:v>
                </c:pt>
                <c:pt idx="783">
                  <c:v>78.5</c:v>
                </c:pt>
                <c:pt idx="784">
                  <c:v>78.599999999999994</c:v>
                </c:pt>
                <c:pt idx="785">
                  <c:v>78.7</c:v>
                </c:pt>
                <c:pt idx="786">
                  <c:v>78.8</c:v>
                </c:pt>
                <c:pt idx="787">
                  <c:v>78.900000000000006</c:v>
                </c:pt>
                <c:pt idx="788">
                  <c:v>79</c:v>
                </c:pt>
                <c:pt idx="789">
                  <c:v>79.099999999999994</c:v>
                </c:pt>
                <c:pt idx="790">
                  <c:v>79.2</c:v>
                </c:pt>
                <c:pt idx="791">
                  <c:v>79.3</c:v>
                </c:pt>
                <c:pt idx="792">
                  <c:v>79.400000000000006</c:v>
                </c:pt>
                <c:pt idx="793">
                  <c:v>79.5</c:v>
                </c:pt>
                <c:pt idx="794">
                  <c:v>79.599999999999994</c:v>
                </c:pt>
                <c:pt idx="795">
                  <c:v>79.7</c:v>
                </c:pt>
                <c:pt idx="796">
                  <c:v>79.8</c:v>
                </c:pt>
                <c:pt idx="797">
                  <c:v>79.900000000000006</c:v>
                </c:pt>
                <c:pt idx="798">
                  <c:v>80</c:v>
                </c:pt>
                <c:pt idx="799">
                  <c:v>80.099999999999994</c:v>
                </c:pt>
                <c:pt idx="800">
                  <c:v>80.2</c:v>
                </c:pt>
                <c:pt idx="801">
                  <c:v>80.3</c:v>
                </c:pt>
                <c:pt idx="802">
                  <c:v>80.400000000000006</c:v>
                </c:pt>
                <c:pt idx="803">
                  <c:v>80.5</c:v>
                </c:pt>
                <c:pt idx="804">
                  <c:v>80.599999999999994</c:v>
                </c:pt>
                <c:pt idx="805">
                  <c:v>80.7</c:v>
                </c:pt>
                <c:pt idx="806">
                  <c:v>80.8</c:v>
                </c:pt>
                <c:pt idx="807">
                  <c:v>80.900000000000006</c:v>
                </c:pt>
                <c:pt idx="808">
                  <c:v>81</c:v>
                </c:pt>
                <c:pt idx="809">
                  <c:v>81.099999999999994</c:v>
                </c:pt>
                <c:pt idx="810">
                  <c:v>81.2</c:v>
                </c:pt>
                <c:pt idx="811">
                  <c:v>81.3</c:v>
                </c:pt>
                <c:pt idx="812">
                  <c:v>81.400000000000006</c:v>
                </c:pt>
                <c:pt idx="813">
                  <c:v>81.5</c:v>
                </c:pt>
                <c:pt idx="814">
                  <c:v>81.599999999999994</c:v>
                </c:pt>
                <c:pt idx="815">
                  <c:v>81.7</c:v>
                </c:pt>
                <c:pt idx="816">
                  <c:v>81.8</c:v>
                </c:pt>
                <c:pt idx="817">
                  <c:v>81.900000000000006</c:v>
                </c:pt>
                <c:pt idx="818">
                  <c:v>82</c:v>
                </c:pt>
                <c:pt idx="819">
                  <c:v>82.1</c:v>
                </c:pt>
                <c:pt idx="820">
                  <c:v>82.2</c:v>
                </c:pt>
                <c:pt idx="821">
                  <c:v>82.3</c:v>
                </c:pt>
                <c:pt idx="822">
                  <c:v>82.4</c:v>
                </c:pt>
                <c:pt idx="823">
                  <c:v>82.5</c:v>
                </c:pt>
                <c:pt idx="824">
                  <c:v>82.6</c:v>
                </c:pt>
                <c:pt idx="825">
                  <c:v>82.7</c:v>
                </c:pt>
                <c:pt idx="826">
                  <c:v>82.8</c:v>
                </c:pt>
                <c:pt idx="827">
                  <c:v>82.9</c:v>
                </c:pt>
                <c:pt idx="828">
                  <c:v>83</c:v>
                </c:pt>
                <c:pt idx="829">
                  <c:v>83.1</c:v>
                </c:pt>
                <c:pt idx="830">
                  <c:v>83.2</c:v>
                </c:pt>
                <c:pt idx="831">
                  <c:v>83.3</c:v>
                </c:pt>
                <c:pt idx="832">
                  <c:v>83.4</c:v>
                </c:pt>
                <c:pt idx="833">
                  <c:v>83.5</c:v>
                </c:pt>
                <c:pt idx="834">
                  <c:v>83.6</c:v>
                </c:pt>
                <c:pt idx="835">
                  <c:v>83.7</c:v>
                </c:pt>
                <c:pt idx="836">
                  <c:v>83.8</c:v>
                </c:pt>
                <c:pt idx="837">
                  <c:v>83.9</c:v>
                </c:pt>
                <c:pt idx="838">
                  <c:v>84</c:v>
                </c:pt>
                <c:pt idx="839">
                  <c:v>84.1</c:v>
                </c:pt>
                <c:pt idx="840">
                  <c:v>84.2</c:v>
                </c:pt>
                <c:pt idx="841">
                  <c:v>84.3</c:v>
                </c:pt>
                <c:pt idx="842">
                  <c:v>84.4</c:v>
                </c:pt>
                <c:pt idx="843">
                  <c:v>84.5</c:v>
                </c:pt>
                <c:pt idx="844">
                  <c:v>84.6</c:v>
                </c:pt>
                <c:pt idx="845">
                  <c:v>84.7</c:v>
                </c:pt>
                <c:pt idx="846">
                  <c:v>84.8</c:v>
                </c:pt>
                <c:pt idx="847">
                  <c:v>84.9</c:v>
                </c:pt>
                <c:pt idx="848">
                  <c:v>85</c:v>
                </c:pt>
                <c:pt idx="849">
                  <c:v>85.1</c:v>
                </c:pt>
                <c:pt idx="850">
                  <c:v>85.2</c:v>
                </c:pt>
                <c:pt idx="851">
                  <c:v>85.3</c:v>
                </c:pt>
                <c:pt idx="852">
                  <c:v>85.4</c:v>
                </c:pt>
                <c:pt idx="853">
                  <c:v>85.5</c:v>
                </c:pt>
                <c:pt idx="854">
                  <c:v>85.6</c:v>
                </c:pt>
                <c:pt idx="855">
                  <c:v>85.7</c:v>
                </c:pt>
                <c:pt idx="856">
                  <c:v>85.8</c:v>
                </c:pt>
                <c:pt idx="857">
                  <c:v>85.9</c:v>
                </c:pt>
                <c:pt idx="858">
                  <c:v>86</c:v>
                </c:pt>
                <c:pt idx="859">
                  <c:v>86.1</c:v>
                </c:pt>
                <c:pt idx="860">
                  <c:v>86.2</c:v>
                </c:pt>
                <c:pt idx="861">
                  <c:v>86.3</c:v>
                </c:pt>
                <c:pt idx="862">
                  <c:v>86.4</c:v>
                </c:pt>
                <c:pt idx="863">
                  <c:v>86.5</c:v>
                </c:pt>
                <c:pt idx="864">
                  <c:v>86.6</c:v>
                </c:pt>
                <c:pt idx="865">
                  <c:v>86.7</c:v>
                </c:pt>
                <c:pt idx="866">
                  <c:v>86.8</c:v>
                </c:pt>
                <c:pt idx="867">
                  <c:v>86.9</c:v>
                </c:pt>
                <c:pt idx="868">
                  <c:v>87</c:v>
                </c:pt>
                <c:pt idx="869">
                  <c:v>87.1</c:v>
                </c:pt>
                <c:pt idx="870">
                  <c:v>87.2</c:v>
                </c:pt>
                <c:pt idx="871">
                  <c:v>87.3</c:v>
                </c:pt>
                <c:pt idx="872">
                  <c:v>87.4</c:v>
                </c:pt>
                <c:pt idx="873">
                  <c:v>87.5</c:v>
                </c:pt>
                <c:pt idx="874">
                  <c:v>87.6</c:v>
                </c:pt>
                <c:pt idx="875">
                  <c:v>87.7</c:v>
                </c:pt>
                <c:pt idx="876">
                  <c:v>87.8</c:v>
                </c:pt>
                <c:pt idx="877">
                  <c:v>87.9</c:v>
                </c:pt>
                <c:pt idx="878">
                  <c:v>88</c:v>
                </c:pt>
                <c:pt idx="879">
                  <c:v>88.1</c:v>
                </c:pt>
                <c:pt idx="880">
                  <c:v>88.2</c:v>
                </c:pt>
                <c:pt idx="881">
                  <c:v>88.3</c:v>
                </c:pt>
                <c:pt idx="882">
                  <c:v>88.4</c:v>
                </c:pt>
                <c:pt idx="883">
                  <c:v>88.5</c:v>
                </c:pt>
                <c:pt idx="884">
                  <c:v>88.6</c:v>
                </c:pt>
                <c:pt idx="885">
                  <c:v>88.7</c:v>
                </c:pt>
                <c:pt idx="886">
                  <c:v>88.8</c:v>
                </c:pt>
                <c:pt idx="887">
                  <c:v>88.9</c:v>
                </c:pt>
                <c:pt idx="888">
                  <c:v>89</c:v>
                </c:pt>
                <c:pt idx="889">
                  <c:v>89.1</c:v>
                </c:pt>
                <c:pt idx="890">
                  <c:v>89.2</c:v>
                </c:pt>
                <c:pt idx="891">
                  <c:v>89.3</c:v>
                </c:pt>
                <c:pt idx="892">
                  <c:v>89.4</c:v>
                </c:pt>
                <c:pt idx="893">
                  <c:v>89.5</c:v>
                </c:pt>
                <c:pt idx="894">
                  <c:v>89.6</c:v>
                </c:pt>
                <c:pt idx="895">
                  <c:v>89.7</c:v>
                </c:pt>
                <c:pt idx="896">
                  <c:v>89.8</c:v>
                </c:pt>
                <c:pt idx="897">
                  <c:v>89.9</c:v>
                </c:pt>
                <c:pt idx="898">
                  <c:v>90</c:v>
                </c:pt>
                <c:pt idx="899">
                  <c:v>90.1</c:v>
                </c:pt>
                <c:pt idx="900">
                  <c:v>90.2</c:v>
                </c:pt>
                <c:pt idx="901">
                  <c:v>90.3</c:v>
                </c:pt>
                <c:pt idx="902">
                  <c:v>90.4</c:v>
                </c:pt>
                <c:pt idx="903">
                  <c:v>90.5</c:v>
                </c:pt>
                <c:pt idx="904">
                  <c:v>90.6</c:v>
                </c:pt>
                <c:pt idx="905">
                  <c:v>90.7</c:v>
                </c:pt>
                <c:pt idx="906">
                  <c:v>90.8</c:v>
                </c:pt>
                <c:pt idx="907">
                  <c:v>90.9</c:v>
                </c:pt>
                <c:pt idx="908">
                  <c:v>91</c:v>
                </c:pt>
                <c:pt idx="909">
                  <c:v>91.1</c:v>
                </c:pt>
                <c:pt idx="910">
                  <c:v>91.2</c:v>
                </c:pt>
                <c:pt idx="911">
                  <c:v>91.3</c:v>
                </c:pt>
                <c:pt idx="912">
                  <c:v>91.4</c:v>
                </c:pt>
                <c:pt idx="913">
                  <c:v>91.5</c:v>
                </c:pt>
                <c:pt idx="914">
                  <c:v>91.6</c:v>
                </c:pt>
                <c:pt idx="915">
                  <c:v>91.7</c:v>
                </c:pt>
                <c:pt idx="916">
                  <c:v>91.8</c:v>
                </c:pt>
                <c:pt idx="917">
                  <c:v>91.9</c:v>
                </c:pt>
                <c:pt idx="918">
                  <c:v>92</c:v>
                </c:pt>
                <c:pt idx="919">
                  <c:v>92.1</c:v>
                </c:pt>
                <c:pt idx="920">
                  <c:v>92.2</c:v>
                </c:pt>
                <c:pt idx="921">
                  <c:v>92.3</c:v>
                </c:pt>
                <c:pt idx="922">
                  <c:v>92.4</c:v>
                </c:pt>
                <c:pt idx="923">
                  <c:v>92.5</c:v>
                </c:pt>
                <c:pt idx="924">
                  <c:v>92.6</c:v>
                </c:pt>
                <c:pt idx="925">
                  <c:v>92.7</c:v>
                </c:pt>
                <c:pt idx="926">
                  <c:v>92.8</c:v>
                </c:pt>
                <c:pt idx="927">
                  <c:v>92.9</c:v>
                </c:pt>
                <c:pt idx="928">
                  <c:v>93</c:v>
                </c:pt>
                <c:pt idx="929">
                  <c:v>93.1</c:v>
                </c:pt>
                <c:pt idx="930">
                  <c:v>93.2</c:v>
                </c:pt>
                <c:pt idx="931">
                  <c:v>93.3</c:v>
                </c:pt>
                <c:pt idx="932">
                  <c:v>93.4</c:v>
                </c:pt>
                <c:pt idx="933">
                  <c:v>93.5</c:v>
                </c:pt>
                <c:pt idx="934">
                  <c:v>93.6</c:v>
                </c:pt>
                <c:pt idx="935">
                  <c:v>93.7</c:v>
                </c:pt>
                <c:pt idx="936">
                  <c:v>93.8</c:v>
                </c:pt>
                <c:pt idx="937">
                  <c:v>93.9</c:v>
                </c:pt>
                <c:pt idx="938">
                  <c:v>94</c:v>
                </c:pt>
                <c:pt idx="939">
                  <c:v>94.1</c:v>
                </c:pt>
                <c:pt idx="940">
                  <c:v>94.2</c:v>
                </c:pt>
                <c:pt idx="941">
                  <c:v>94.3</c:v>
                </c:pt>
                <c:pt idx="942">
                  <c:v>94.4</c:v>
                </c:pt>
                <c:pt idx="943">
                  <c:v>94.5</c:v>
                </c:pt>
                <c:pt idx="944">
                  <c:v>94.6</c:v>
                </c:pt>
                <c:pt idx="945">
                  <c:v>94.7</c:v>
                </c:pt>
                <c:pt idx="946">
                  <c:v>94.8</c:v>
                </c:pt>
                <c:pt idx="947">
                  <c:v>94.9</c:v>
                </c:pt>
                <c:pt idx="948">
                  <c:v>95</c:v>
                </c:pt>
                <c:pt idx="949">
                  <c:v>95.1</c:v>
                </c:pt>
                <c:pt idx="950">
                  <c:v>95.2</c:v>
                </c:pt>
                <c:pt idx="951">
                  <c:v>95.3</c:v>
                </c:pt>
                <c:pt idx="952">
                  <c:v>95.4</c:v>
                </c:pt>
                <c:pt idx="953">
                  <c:v>95.5</c:v>
                </c:pt>
                <c:pt idx="954">
                  <c:v>95.6</c:v>
                </c:pt>
                <c:pt idx="955">
                  <c:v>95.7</c:v>
                </c:pt>
                <c:pt idx="956">
                  <c:v>95.8</c:v>
                </c:pt>
                <c:pt idx="957">
                  <c:v>95.9</c:v>
                </c:pt>
                <c:pt idx="958">
                  <c:v>96</c:v>
                </c:pt>
                <c:pt idx="959">
                  <c:v>96.1</c:v>
                </c:pt>
                <c:pt idx="960">
                  <c:v>96.2</c:v>
                </c:pt>
                <c:pt idx="961">
                  <c:v>96.3</c:v>
                </c:pt>
                <c:pt idx="962">
                  <c:v>96.4</c:v>
                </c:pt>
                <c:pt idx="963">
                  <c:v>96.5</c:v>
                </c:pt>
                <c:pt idx="964">
                  <c:v>96.6</c:v>
                </c:pt>
                <c:pt idx="965">
                  <c:v>96.7</c:v>
                </c:pt>
                <c:pt idx="966">
                  <c:v>96.8</c:v>
                </c:pt>
                <c:pt idx="967">
                  <c:v>96.9</c:v>
                </c:pt>
                <c:pt idx="968">
                  <c:v>97</c:v>
                </c:pt>
                <c:pt idx="969">
                  <c:v>97.1</c:v>
                </c:pt>
                <c:pt idx="970">
                  <c:v>97.2</c:v>
                </c:pt>
                <c:pt idx="971">
                  <c:v>97.3</c:v>
                </c:pt>
                <c:pt idx="972">
                  <c:v>97.4</c:v>
                </c:pt>
                <c:pt idx="973">
                  <c:v>97.5</c:v>
                </c:pt>
                <c:pt idx="974">
                  <c:v>97.6</c:v>
                </c:pt>
                <c:pt idx="975">
                  <c:v>97.7</c:v>
                </c:pt>
                <c:pt idx="976">
                  <c:v>97.8</c:v>
                </c:pt>
                <c:pt idx="977">
                  <c:v>97.9</c:v>
                </c:pt>
                <c:pt idx="978">
                  <c:v>98</c:v>
                </c:pt>
                <c:pt idx="979">
                  <c:v>98.1</c:v>
                </c:pt>
                <c:pt idx="980">
                  <c:v>98.2</c:v>
                </c:pt>
                <c:pt idx="981">
                  <c:v>98.3</c:v>
                </c:pt>
                <c:pt idx="982">
                  <c:v>98.4</c:v>
                </c:pt>
                <c:pt idx="983">
                  <c:v>98.5</c:v>
                </c:pt>
                <c:pt idx="984">
                  <c:v>98.6</c:v>
                </c:pt>
                <c:pt idx="985">
                  <c:v>98.7</c:v>
                </c:pt>
                <c:pt idx="986">
                  <c:v>98.8</c:v>
                </c:pt>
                <c:pt idx="987">
                  <c:v>98.9</c:v>
                </c:pt>
                <c:pt idx="988">
                  <c:v>99</c:v>
                </c:pt>
                <c:pt idx="989">
                  <c:v>99.1</c:v>
                </c:pt>
                <c:pt idx="990">
                  <c:v>99.2</c:v>
                </c:pt>
                <c:pt idx="991">
                  <c:v>99.3</c:v>
                </c:pt>
                <c:pt idx="992">
                  <c:v>99.4</c:v>
                </c:pt>
                <c:pt idx="993">
                  <c:v>99.5</c:v>
                </c:pt>
                <c:pt idx="994">
                  <c:v>99.6</c:v>
                </c:pt>
                <c:pt idx="995">
                  <c:v>99.7</c:v>
                </c:pt>
                <c:pt idx="996">
                  <c:v>99.8</c:v>
                </c:pt>
                <c:pt idx="997">
                  <c:v>99.9</c:v>
                </c:pt>
                <c:pt idx="998">
                  <c:v>100</c:v>
                </c:pt>
                <c:pt idx="999">
                  <c:v>100.1</c:v>
                </c:pt>
              </c:numCache>
            </c:numRef>
          </c:xVal>
          <c:yVal>
            <c:numRef>
              <c:f>Sheet1!$C$2:$C$1001</c:f>
              <c:numCache>
                <c:formatCode>General</c:formatCode>
                <c:ptCount val="100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50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50</c:v>
                </c:pt>
                <c:pt idx="103">
                  <c:v>50</c:v>
                </c:pt>
                <c:pt idx="104">
                  <c:v>50</c:v>
                </c:pt>
                <c:pt idx="105">
                  <c:v>50</c:v>
                </c:pt>
                <c:pt idx="106">
                  <c:v>50</c:v>
                </c:pt>
                <c:pt idx="107">
                  <c:v>50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50</c:v>
                </c:pt>
                <c:pt idx="122">
                  <c:v>50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50</c:v>
                </c:pt>
                <c:pt idx="148">
                  <c:v>50</c:v>
                </c:pt>
                <c:pt idx="149">
                  <c:v>50</c:v>
                </c:pt>
                <c:pt idx="150">
                  <c:v>50</c:v>
                </c:pt>
                <c:pt idx="151">
                  <c:v>50</c:v>
                </c:pt>
                <c:pt idx="152">
                  <c:v>50</c:v>
                </c:pt>
                <c:pt idx="153">
                  <c:v>50</c:v>
                </c:pt>
                <c:pt idx="154">
                  <c:v>50</c:v>
                </c:pt>
                <c:pt idx="155">
                  <c:v>50</c:v>
                </c:pt>
                <c:pt idx="156">
                  <c:v>50</c:v>
                </c:pt>
                <c:pt idx="157">
                  <c:v>50</c:v>
                </c:pt>
                <c:pt idx="158">
                  <c:v>50</c:v>
                </c:pt>
                <c:pt idx="159">
                  <c:v>50</c:v>
                </c:pt>
                <c:pt idx="160">
                  <c:v>50</c:v>
                </c:pt>
                <c:pt idx="161">
                  <c:v>50</c:v>
                </c:pt>
                <c:pt idx="162">
                  <c:v>50</c:v>
                </c:pt>
                <c:pt idx="163">
                  <c:v>50</c:v>
                </c:pt>
                <c:pt idx="164">
                  <c:v>50</c:v>
                </c:pt>
                <c:pt idx="165">
                  <c:v>50</c:v>
                </c:pt>
                <c:pt idx="166">
                  <c:v>50</c:v>
                </c:pt>
                <c:pt idx="167">
                  <c:v>50</c:v>
                </c:pt>
                <c:pt idx="168">
                  <c:v>50</c:v>
                </c:pt>
                <c:pt idx="169">
                  <c:v>50</c:v>
                </c:pt>
                <c:pt idx="170">
                  <c:v>50</c:v>
                </c:pt>
                <c:pt idx="171">
                  <c:v>50</c:v>
                </c:pt>
                <c:pt idx="172">
                  <c:v>50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50</c:v>
                </c:pt>
                <c:pt idx="177">
                  <c:v>50</c:v>
                </c:pt>
                <c:pt idx="178">
                  <c:v>50</c:v>
                </c:pt>
                <c:pt idx="179">
                  <c:v>50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50</c:v>
                </c:pt>
                <c:pt idx="188">
                  <c:v>50</c:v>
                </c:pt>
                <c:pt idx="189">
                  <c:v>50</c:v>
                </c:pt>
                <c:pt idx="190">
                  <c:v>50</c:v>
                </c:pt>
                <c:pt idx="191">
                  <c:v>50</c:v>
                </c:pt>
                <c:pt idx="192">
                  <c:v>50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50</c:v>
                </c:pt>
                <c:pt idx="197">
                  <c:v>50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</c:v>
                </c:pt>
                <c:pt idx="206">
                  <c:v>50</c:v>
                </c:pt>
                <c:pt idx="207">
                  <c:v>50</c:v>
                </c:pt>
                <c:pt idx="208">
                  <c:v>50</c:v>
                </c:pt>
                <c:pt idx="209">
                  <c:v>50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  <c:pt idx="216">
                  <c:v>50</c:v>
                </c:pt>
                <c:pt idx="217">
                  <c:v>50</c:v>
                </c:pt>
                <c:pt idx="218">
                  <c:v>50</c:v>
                </c:pt>
                <c:pt idx="219">
                  <c:v>50</c:v>
                </c:pt>
                <c:pt idx="220">
                  <c:v>50</c:v>
                </c:pt>
                <c:pt idx="221">
                  <c:v>50</c:v>
                </c:pt>
                <c:pt idx="222">
                  <c:v>50</c:v>
                </c:pt>
                <c:pt idx="223">
                  <c:v>50</c:v>
                </c:pt>
                <c:pt idx="224">
                  <c:v>50</c:v>
                </c:pt>
                <c:pt idx="225">
                  <c:v>50</c:v>
                </c:pt>
                <c:pt idx="226">
                  <c:v>50</c:v>
                </c:pt>
                <c:pt idx="227">
                  <c:v>50</c:v>
                </c:pt>
                <c:pt idx="228">
                  <c:v>50</c:v>
                </c:pt>
                <c:pt idx="229">
                  <c:v>50</c:v>
                </c:pt>
                <c:pt idx="230">
                  <c:v>50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50</c:v>
                </c:pt>
                <c:pt idx="235">
                  <c:v>50</c:v>
                </c:pt>
                <c:pt idx="236">
                  <c:v>50</c:v>
                </c:pt>
                <c:pt idx="237">
                  <c:v>50</c:v>
                </c:pt>
                <c:pt idx="238">
                  <c:v>50</c:v>
                </c:pt>
                <c:pt idx="239">
                  <c:v>50</c:v>
                </c:pt>
                <c:pt idx="240">
                  <c:v>50</c:v>
                </c:pt>
                <c:pt idx="241">
                  <c:v>50</c:v>
                </c:pt>
                <c:pt idx="242">
                  <c:v>50</c:v>
                </c:pt>
                <c:pt idx="243">
                  <c:v>50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50</c:v>
                </c:pt>
                <c:pt idx="248">
                  <c:v>50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50</c:v>
                </c:pt>
                <c:pt idx="253">
                  <c:v>50</c:v>
                </c:pt>
                <c:pt idx="254">
                  <c:v>50</c:v>
                </c:pt>
                <c:pt idx="255">
                  <c:v>50</c:v>
                </c:pt>
                <c:pt idx="256">
                  <c:v>50</c:v>
                </c:pt>
                <c:pt idx="257">
                  <c:v>50</c:v>
                </c:pt>
                <c:pt idx="258">
                  <c:v>50</c:v>
                </c:pt>
                <c:pt idx="259">
                  <c:v>50</c:v>
                </c:pt>
                <c:pt idx="260">
                  <c:v>50</c:v>
                </c:pt>
                <c:pt idx="261">
                  <c:v>50</c:v>
                </c:pt>
                <c:pt idx="262">
                  <c:v>50</c:v>
                </c:pt>
                <c:pt idx="263">
                  <c:v>50</c:v>
                </c:pt>
                <c:pt idx="264">
                  <c:v>50</c:v>
                </c:pt>
                <c:pt idx="265">
                  <c:v>50</c:v>
                </c:pt>
                <c:pt idx="266">
                  <c:v>50</c:v>
                </c:pt>
                <c:pt idx="267">
                  <c:v>50</c:v>
                </c:pt>
                <c:pt idx="268">
                  <c:v>50</c:v>
                </c:pt>
                <c:pt idx="269">
                  <c:v>50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  <c:pt idx="300">
                  <c:v>50</c:v>
                </c:pt>
                <c:pt idx="301">
                  <c:v>50</c:v>
                </c:pt>
                <c:pt idx="302">
                  <c:v>50</c:v>
                </c:pt>
                <c:pt idx="303">
                  <c:v>50</c:v>
                </c:pt>
                <c:pt idx="304">
                  <c:v>50</c:v>
                </c:pt>
                <c:pt idx="305">
                  <c:v>50</c:v>
                </c:pt>
                <c:pt idx="306">
                  <c:v>50</c:v>
                </c:pt>
                <c:pt idx="307">
                  <c:v>50</c:v>
                </c:pt>
                <c:pt idx="308">
                  <c:v>50</c:v>
                </c:pt>
                <c:pt idx="309">
                  <c:v>50</c:v>
                </c:pt>
                <c:pt idx="310">
                  <c:v>50</c:v>
                </c:pt>
                <c:pt idx="311">
                  <c:v>50</c:v>
                </c:pt>
                <c:pt idx="312">
                  <c:v>50</c:v>
                </c:pt>
                <c:pt idx="313">
                  <c:v>50</c:v>
                </c:pt>
                <c:pt idx="314">
                  <c:v>50</c:v>
                </c:pt>
                <c:pt idx="315">
                  <c:v>50</c:v>
                </c:pt>
                <c:pt idx="316">
                  <c:v>50</c:v>
                </c:pt>
                <c:pt idx="317">
                  <c:v>50</c:v>
                </c:pt>
                <c:pt idx="318">
                  <c:v>50</c:v>
                </c:pt>
                <c:pt idx="319">
                  <c:v>50</c:v>
                </c:pt>
                <c:pt idx="320">
                  <c:v>50</c:v>
                </c:pt>
                <c:pt idx="321">
                  <c:v>50</c:v>
                </c:pt>
                <c:pt idx="322">
                  <c:v>50</c:v>
                </c:pt>
                <c:pt idx="323">
                  <c:v>50</c:v>
                </c:pt>
                <c:pt idx="324">
                  <c:v>50</c:v>
                </c:pt>
                <c:pt idx="325">
                  <c:v>50</c:v>
                </c:pt>
                <c:pt idx="326">
                  <c:v>50</c:v>
                </c:pt>
                <c:pt idx="327">
                  <c:v>50</c:v>
                </c:pt>
                <c:pt idx="328">
                  <c:v>50</c:v>
                </c:pt>
                <c:pt idx="329">
                  <c:v>65</c:v>
                </c:pt>
                <c:pt idx="330">
                  <c:v>65</c:v>
                </c:pt>
                <c:pt idx="331">
                  <c:v>65</c:v>
                </c:pt>
                <c:pt idx="332">
                  <c:v>65</c:v>
                </c:pt>
                <c:pt idx="333">
                  <c:v>65</c:v>
                </c:pt>
                <c:pt idx="334">
                  <c:v>65</c:v>
                </c:pt>
                <c:pt idx="335">
                  <c:v>65</c:v>
                </c:pt>
                <c:pt idx="336">
                  <c:v>65</c:v>
                </c:pt>
                <c:pt idx="337">
                  <c:v>65</c:v>
                </c:pt>
                <c:pt idx="338">
                  <c:v>65</c:v>
                </c:pt>
                <c:pt idx="339">
                  <c:v>65</c:v>
                </c:pt>
                <c:pt idx="340">
                  <c:v>65</c:v>
                </c:pt>
                <c:pt idx="341">
                  <c:v>65</c:v>
                </c:pt>
                <c:pt idx="342">
                  <c:v>65</c:v>
                </c:pt>
                <c:pt idx="343">
                  <c:v>65</c:v>
                </c:pt>
                <c:pt idx="344">
                  <c:v>65</c:v>
                </c:pt>
                <c:pt idx="345">
                  <c:v>65</c:v>
                </c:pt>
                <c:pt idx="346">
                  <c:v>65</c:v>
                </c:pt>
                <c:pt idx="347">
                  <c:v>65</c:v>
                </c:pt>
                <c:pt idx="348">
                  <c:v>65</c:v>
                </c:pt>
                <c:pt idx="349">
                  <c:v>65</c:v>
                </c:pt>
                <c:pt idx="350">
                  <c:v>65</c:v>
                </c:pt>
                <c:pt idx="351">
                  <c:v>65</c:v>
                </c:pt>
                <c:pt idx="352">
                  <c:v>65</c:v>
                </c:pt>
                <c:pt idx="353">
                  <c:v>65</c:v>
                </c:pt>
                <c:pt idx="354">
                  <c:v>65</c:v>
                </c:pt>
                <c:pt idx="355">
                  <c:v>65</c:v>
                </c:pt>
                <c:pt idx="356">
                  <c:v>65</c:v>
                </c:pt>
                <c:pt idx="357">
                  <c:v>65</c:v>
                </c:pt>
                <c:pt idx="358">
                  <c:v>65</c:v>
                </c:pt>
                <c:pt idx="359">
                  <c:v>65</c:v>
                </c:pt>
                <c:pt idx="360">
                  <c:v>65</c:v>
                </c:pt>
                <c:pt idx="361">
                  <c:v>65</c:v>
                </c:pt>
                <c:pt idx="362">
                  <c:v>65</c:v>
                </c:pt>
                <c:pt idx="363">
                  <c:v>65</c:v>
                </c:pt>
                <c:pt idx="364">
                  <c:v>65</c:v>
                </c:pt>
                <c:pt idx="365">
                  <c:v>65</c:v>
                </c:pt>
                <c:pt idx="366">
                  <c:v>65</c:v>
                </c:pt>
                <c:pt idx="367">
                  <c:v>65</c:v>
                </c:pt>
                <c:pt idx="368">
                  <c:v>65</c:v>
                </c:pt>
                <c:pt idx="369">
                  <c:v>65</c:v>
                </c:pt>
                <c:pt idx="370">
                  <c:v>65</c:v>
                </c:pt>
                <c:pt idx="371">
                  <c:v>65</c:v>
                </c:pt>
                <c:pt idx="372">
                  <c:v>65</c:v>
                </c:pt>
                <c:pt idx="373">
                  <c:v>65</c:v>
                </c:pt>
                <c:pt idx="374">
                  <c:v>65</c:v>
                </c:pt>
                <c:pt idx="375">
                  <c:v>65</c:v>
                </c:pt>
                <c:pt idx="376">
                  <c:v>65</c:v>
                </c:pt>
                <c:pt idx="377">
                  <c:v>65</c:v>
                </c:pt>
                <c:pt idx="378">
                  <c:v>65</c:v>
                </c:pt>
                <c:pt idx="379">
                  <c:v>65</c:v>
                </c:pt>
                <c:pt idx="380">
                  <c:v>65</c:v>
                </c:pt>
                <c:pt idx="381">
                  <c:v>65</c:v>
                </c:pt>
                <c:pt idx="382">
                  <c:v>65</c:v>
                </c:pt>
                <c:pt idx="383">
                  <c:v>65</c:v>
                </c:pt>
                <c:pt idx="384">
                  <c:v>65</c:v>
                </c:pt>
                <c:pt idx="385">
                  <c:v>65</c:v>
                </c:pt>
                <c:pt idx="386">
                  <c:v>65</c:v>
                </c:pt>
                <c:pt idx="387">
                  <c:v>65</c:v>
                </c:pt>
                <c:pt idx="388">
                  <c:v>65</c:v>
                </c:pt>
                <c:pt idx="389">
                  <c:v>65</c:v>
                </c:pt>
                <c:pt idx="390">
                  <c:v>65</c:v>
                </c:pt>
                <c:pt idx="391">
                  <c:v>65</c:v>
                </c:pt>
                <c:pt idx="392">
                  <c:v>65</c:v>
                </c:pt>
                <c:pt idx="393">
                  <c:v>65</c:v>
                </c:pt>
                <c:pt idx="394">
                  <c:v>65</c:v>
                </c:pt>
                <c:pt idx="395">
                  <c:v>65</c:v>
                </c:pt>
                <c:pt idx="396">
                  <c:v>65</c:v>
                </c:pt>
                <c:pt idx="397">
                  <c:v>65</c:v>
                </c:pt>
                <c:pt idx="398">
                  <c:v>65</c:v>
                </c:pt>
                <c:pt idx="399">
                  <c:v>65</c:v>
                </c:pt>
                <c:pt idx="400">
                  <c:v>65</c:v>
                </c:pt>
                <c:pt idx="401">
                  <c:v>65</c:v>
                </c:pt>
                <c:pt idx="402">
                  <c:v>65</c:v>
                </c:pt>
                <c:pt idx="403">
                  <c:v>65</c:v>
                </c:pt>
                <c:pt idx="404">
                  <c:v>65</c:v>
                </c:pt>
                <c:pt idx="405">
                  <c:v>65</c:v>
                </c:pt>
                <c:pt idx="406">
                  <c:v>65</c:v>
                </c:pt>
                <c:pt idx="407">
                  <c:v>65</c:v>
                </c:pt>
                <c:pt idx="408">
                  <c:v>65</c:v>
                </c:pt>
                <c:pt idx="409">
                  <c:v>65</c:v>
                </c:pt>
                <c:pt idx="410">
                  <c:v>65</c:v>
                </c:pt>
                <c:pt idx="411">
                  <c:v>65</c:v>
                </c:pt>
                <c:pt idx="412">
                  <c:v>65</c:v>
                </c:pt>
                <c:pt idx="413">
                  <c:v>65</c:v>
                </c:pt>
                <c:pt idx="414">
                  <c:v>65</c:v>
                </c:pt>
                <c:pt idx="415">
                  <c:v>65</c:v>
                </c:pt>
                <c:pt idx="416">
                  <c:v>65</c:v>
                </c:pt>
                <c:pt idx="417">
                  <c:v>65</c:v>
                </c:pt>
                <c:pt idx="418">
                  <c:v>65</c:v>
                </c:pt>
                <c:pt idx="419">
                  <c:v>65</c:v>
                </c:pt>
                <c:pt idx="420">
                  <c:v>65</c:v>
                </c:pt>
                <c:pt idx="421">
                  <c:v>65</c:v>
                </c:pt>
                <c:pt idx="422">
                  <c:v>65</c:v>
                </c:pt>
                <c:pt idx="423">
                  <c:v>65</c:v>
                </c:pt>
                <c:pt idx="424">
                  <c:v>65</c:v>
                </c:pt>
                <c:pt idx="425">
                  <c:v>65</c:v>
                </c:pt>
                <c:pt idx="426">
                  <c:v>65</c:v>
                </c:pt>
                <c:pt idx="427">
                  <c:v>65</c:v>
                </c:pt>
                <c:pt idx="428">
                  <c:v>65</c:v>
                </c:pt>
                <c:pt idx="429">
                  <c:v>65</c:v>
                </c:pt>
                <c:pt idx="430">
                  <c:v>65</c:v>
                </c:pt>
                <c:pt idx="431">
                  <c:v>65</c:v>
                </c:pt>
                <c:pt idx="432">
                  <c:v>65</c:v>
                </c:pt>
                <c:pt idx="433">
                  <c:v>65</c:v>
                </c:pt>
                <c:pt idx="434">
                  <c:v>65</c:v>
                </c:pt>
                <c:pt idx="435">
                  <c:v>65</c:v>
                </c:pt>
                <c:pt idx="436">
                  <c:v>65</c:v>
                </c:pt>
                <c:pt idx="437">
                  <c:v>65</c:v>
                </c:pt>
                <c:pt idx="438">
                  <c:v>65</c:v>
                </c:pt>
                <c:pt idx="439">
                  <c:v>65</c:v>
                </c:pt>
                <c:pt idx="440">
                  <c:v>65</c:v>
                </c:pt>
                <c:pt idx="441">
                  <c:v>65</c:v>
                </c:pt>
                <c:pt idx="442">
                  <c:v>65</c:v>
                </c:pt>
                <c:pt idx="443">
                  <c:v>65</c:v>
                </c:pt>
                <c:pt idx="444">
                  <c:v>65</c:v>
                </c:pt>
                <c:pt idx="445">
                  <c:v>65</c:v>
                </c:pt>
                <c:pt idx="446">
                  <c:v>65</c:v>
                </c:pt>
                <c:pt idx="447">
                  <c:v>65</c:v>
                </c:pt>
                <c:pt idx="448">
                  <c:v>65</c:v>
                </c:pt>
                <c:pt idx="449">
                  <c:v>65</c:v>
                </c:pt>
                <c:pt idx="450">
                  <c:v>65</c:v>
                </c:pt>
                <c:pt idx="451">
                  <c:v>65</c:v>
                </c:pt>
                <c:pt idx="452">
                  <c:v>65</c:v>
                </c:pt>
                <c:pt idx="453">
                  <c:v>65</c:v>
                </c:pt>
                <c:pt idx="454">
                  <c:v>65</c:v>
                </c:pt>
                <c:pt idx="455">
                  <c:v>65</c:v>
                </c:pt>
                <c:pt idx="456">
                  <c:v>65</c:v>
                </c:pt>
                <c:pt idx="457">
                  <c:v>65</c:v>
                </c:pt>
                <c:pt idx="458">
                  <c:v>65</c:v>
                </c:pt>
                <c:pt idx="459">
                  <c:v>65</c:v>
                </c:pt>
                <c:pt idx="460">
                  <c:v>65</c:v>
                </c:pt>
                <c:pt idx="461">
                  <c:v>65</c:v>
                </c:pt>
                <c:pt idx="462">
                  <c:v>65</c:v>
                </c:pt>
                <c:pt idx="463">
                  <c:v>65</c:v>
                </c:pt>
                <c:pt idx="464">
                  <c:v>65</c:v>
                </c:pt>
                <c:pt idx="465">
                  <c:v>65</c:v>
                </c:pt>
                <c:pt idx="466">
                  <c:v>65</c:v>
                </c:pt>
                <c:pt idx="467">
                  <c:v>65</c:v>
                </c:pt>
                <c:pt idx="468">
                  <c:v>65</c:v>
                </c:pt>
                <c:pt idx="469">
                  <c:v>65</c:v>
                </c:pt>
                <c:pt idx="470">
                  <c:v>65</c:v>
                </c:pt>
                <c:pt idx="471">
                  <c:v>65</c:v>
                </c:pt>
                <c:pt idx="472">
                  <c:v>65</c:v>
                </c:pt>
                <c:pt idx="473">
                  <c:v>65</c:v>
                </c:pt>
                <c:pt idx="474">
                  <c:v>65</c:v>
                </c:pt>
                <c:pt idx="475">
                  <c:v>65</c:v>
                </c:pt>
                <c:pt idx="476">
                  <c:v>65</c:v>
                </c:pt>
                <c:pt idx="477">
                  <c:v>65</c:v>
                </c:pt>
                <c:pt idx="478">
                  <c:v>65</c:v>
                </c:pt>
                <c:pt idx="479">
                  <c:v>65</c:v>
                </c:pt>
                <c:pt idx="480">
                  <c:v>65</c:v>
                </c:pt>
                <c:pt idx="481">
                  <c:v>65</c:v>
                </c:pt>
                <c:pt idx="482">
                  <c:v>65</c:v>
                </c:pt>
                <c:pt idx="483">
                  <c:v>65</c:v>
                </c:pt>
                <c:pt idx="484">
                  <c:v>65</c:v>
                </c:pt>
                <c:pt idx="485">
                  <c:v>65</c:v>
                </c:pt>
                <c:pt idx="486">
                  <c:v>65</c:v>
                </c:pt>
                <c:pt idx="487">
                  <c:v>65</c:v>
                </c:pt>
                <c:pt idx="488">
                  <c:v>65</c:v>
                </c:pt>
                <c:pt idx="489">
                  <c:v>65</c:v>
                </c:pt>
                <c:pt idx="490">
                  <c:v>65</c:v>
                </c:pt>
                <c:pt idx="491">
                  <c:v>65</c:v>
                </c:pt>
                <c:pt idx="492">
                  <c:v>65</c:v>
                </c:pt>
                <c:pt idx="493">
                  <c:v>65</c:v>
                </c:pt>
                <c:pt idx="494">
                  <c:v>65</c:v>
                </c:pt>
                <c:pt idx="495">
                  <c:v>65</c:v>
                </c:pt>
                <c:pt idx="496">
                  <c:v>65</c:v>
                </c:pt>
                <c:pt idx="497">
                  <c:v>65</c:v>
                </c:pt>
                <c:pt idx="498">
                  <c:v>65</c:v>
                </c:pt>
                <c:pt idx="499">
                  <c:v>65</c:v>
                </c:pt>
                <c:pt idx="500">
                  <c:v>65</c:v>
                </c:pt>
                <c:pt idx="501">
                  <c:v>65</c:v>
                </c:pt>
                <c:pt idx="502">
                  <c:v>65</c:v>
                </c:pt>
                <c:pt idx="503">
                  <c:v>65</c:v>
                </c:pt>
                <c:pt idx="504">
                  <c:v>65</c:v>
                </c:pt>
                <c:pt idx="505">
                  <c:v>65</c:v>
                </c:pt>
                <c:pt idx="506">
                  <c:v>65</c:v>
                </c:pt>
                <c:pt idx="507">
                  <c:v>65</c:v>
                </c:pt>
                <c:pt idx="508">
                  <c:v>65</c:v>
                </c:pt>
                <c:pt idx="509">
                  <c:v>65</c:v>
                </c:pt>
                <c:pt idx="510">
                  <c:v>65</c:v>
                </c:pt>
                <c:pt idx="511">
                  <c:v>65</c:v>
                </c:pt>
                <c:pt idx="512">
                  <c:v>65</c:v>
                </c:pt>
                <c:pt idx="513">
                  <c:v>65</c:v>
                </c:pt>
                <c:pt idx="514">
                  <c:v>65</c:v>
                </c:pt>
                <c:pt idx="515">
                  <c:v>65</c:v>
                </c:pt>
                <c:pt idx="516">
                  <c:v>65</c:v>
                </c:pt>
                <c:pt idx="517">
                  <c:v>65</c:v>
                </c:pt>
                <c:pt idx="518">
                  <c:v>65</c:v>
                </c:pt>
                <c:pt idx="519">
                  <c:v>65</c:v>
                </c:pt>
                <c:pt idx="520">
                  <c:v>65</c:v>
                </c:pt>
                <c:pt idx="521">
                  <c:v>65</c:v>
                </c:pt>
                <c:pt idx="522">
                  <c:v>65</c:v>
                </c:pt>
                <c:pt idx="523">
                  <c:v>65</c:v>
                </c:pt>
                <c:pt idx="524">
                  <c:v>65</c:v>
                </c:pt>
                <c:pt idx="525">
                  <c:v>65</c:v>
                </c:pt>
                <c:pt idx="526">
                  <c:v>65</c:v>
                </c:pt>
                <c:pt idx="527">
                  <c:v>65</c:v>
                </c:pt>
                <c:pt idx="528">
                  <c:v>65</c:v>
                </c:pt>
                <c:pt idx="529">
                  <c:v>65</c:v>
                </c:pt>
                <c:pt idx="530">
                  <c:v>65</c:v>
                </c:pt>
                <c:pt idx="531">
                  <c:v>65</c:v>
                </c:pt>
                <c:pt idx="532">
                  <c:v>65</c:v>
                </c:pt>
                <c:pt idx="533">
                  <c:v>65</c:v>
                </c:pt>
                <c:pt idx="534">
                  <c:v>65</c:v>
                </c:pt>
                <c:pt idx="535">
                  <c:v>65</c:v>
                </c:pt>
                <c:pt idx="536">
                  <c:v>65</c:v>
                </c:pt>
                <c:pt idx="537">
                  <c:v>65</c:v>
                </c:pt>
                <c:pt idx="538">
                  <c:v>65</c:v>
                </c:pt>
                <c:pt idx="539">
                  <c:v>65</c:v>
                </c:pt>
                <c:pt idx="540">
                  <c:v>65</c:v>
                </c:pt>
                <c:pt idx="541">
                  <c:v>65</c:v>
                </c:pt>
                <c:pt idx="542">
                  <c:v>65</c:v>
                </c:pt>
                <c:pt idx="543">
                  <c:v>65</c:v>
                </c:pt>
                <c:pt idx="544">
                  <c:v>65</c:v>
                </c:pt>
                <c:pt idx="545">
                  <c:v>65</c:v>
                </c:pt>
                <c:pt idx="546">
                  <c:v>65</c:v>
                </c:pt>
                <c:pt idx="547">
                  <c:v>65</c:v>
                </c:pt>
                <c:pt idx="548">
                  <c:v>65</c:v>
                </c:pt>
                <c:pt idx="549">
                  <c:v>65</c:v>
                </c:pt>
                <c:pt idx="550">
                  <c:v>65</c:v>
                </c:pt>
                <c:pt idx="551">
                  <c:v>65</c:v>
                </c:pt>
                <c:pt idx="552">
                  <c:v>65</c:v>
                </c:pt>
                <c:pt idx="553">
                  <c:v>65</c:v>
                </c:pt>
                <c:pt idx="554">
                  <c:v>65</c:v>
                </c:pt>
                <c:pt idx="555">
                  <c:v>65</c:v>
                </c:pt>
                <c:pt idx="556">
                  <c:v>65</c:v>
                </c:pt>
                <c:pt idx="557">
                  <c:v>65</c:v>
                </c:pt>
                <c:pt idx="558">
                  <c:v>65</c:v>
                </c:pt>
                <c:pt idx="559">
                  <c:v>65</c:v>
                </c:pt>
                <c:pt idx="560">
                  <c:v>65</c:v>
                </c:pt>
                <c:pt idx="561">
                  <c:v>65</c:v>
                </c:pt>
                <c:pt idx="562">
                  <c:v>65</c:v>
                </c:pt>
                <c:pt idx="563">
                  <c:v>65</c:v>
                </c:pt>
                <c:pt idx="564">
                  <c:v>65</c:v>
                </c:pt>
                <c:pt idx="565">
                  <c:v>65</c:v>
                </c:pt>
                <c:pt idx="566">
                  <c:v>65</c:v>
                </c:pt>
                <c:pt idx="567">
                  <c:v>65</c:v>
                </c:pt>
                <c:pt idx="568">
                  <c:v>65</c:v>
                </c:pt>
                <c:pt idx="569">
                  <c:v>65</c:v>
                </c:pt>
                <c:pt idx="570">
                  <c:v>65</c:v>
                </c:pt>
                <c:pt idx="571">
                  <c:v>65</c:v>
                </c:pt>
                <c:pt idx="572">
                  <c:v>65</c:v>
                </c:pt>
                <c:pt idx="573">
                  <c:v>65</c:v>
                </c:pt>
                <c:pt idx="574">
                  <c:v>65</c:v>
                </c:pt>
                <c:pt idx="575">
                  <c:v>65</c:v>
                </c:pt>
                <c:pt idx="576">
                  <c:v>65</c:v>
                </c:pt>
                <c:pt idx="577">
                  <c:v>65</c:v>
                </c:pt>
                <c:pt idx="578">
                  <c:v>65</c:v>
                </c:pt>
                <c:pt idx="579">
                  <c:v>65</c:v>
                </c:pt>
                <c:pt idx="580">
                  <c:v>65</c:v>
                </c:pt>
                <c:pt idx="581">
                  <c:v>65</c:v>
                </c:pt>
                <c:pt idx="582">
                  <c:v>65</c:v>
                </c:pt>
                <c:pt idx="583">
                  <c:v>65</c:v>
                </c:pt>
                <c:pt idx="584">
                  <c:v>65</c:v>
                </c:pt>
                <c:pt idx="585">
                  <c:v>65</c:v>
                </c:pt>
                <c:pt idx="586">
                  <c:v>65</c:v>
                </c:pt>
                <c:pt idx="587">
                  <c:v>65</c:v>
                </c:pt>
                <c:pt idx="588">
                  <c:v>65</c:v>
                </c:pt>
                <c:pt idx="589">
                  <c:v>65</c:v>
                </c:pt>
                <c:pt idx="590">
                  <c:v>65</c:v>
                </c:pt>
                <c:pt idx="591">
                  <c:v>65</c:v>
                </c:pt>
                <c:pt idx="592">
                  <c:v>65</c:v>
                </c:pt>
                <c:pt idx="593">
                  <c:v>65</c:v>
                </c:pt>
                <c:pt idx="594">
                  <c:v>65</c:v>
                </c:pt>
                <c:pt idx="595">
                  <c:v>65</c:v>
                </c:pt>
                <c:pt idx="596">
                  <c:v>65</c:v>
                </c:pt>
                <c:pt idx="597">
                  <c:v>65</c:v>
                </c:pt>
                <c:pt idx="598">
                  <c:v>65</c:v>
                </c:pt>
                <c:pt idx="599">
                  <c:v>65</c:v>
                </c:pt>
                <c:pt idx="600">
                  <c:v>65</c:v>
                </c:pt>
                <c:pt idx="601">
                  <c:v>65</c:v>
                </c:pt>
                <c:pt idx="602">
                  <c:v>65</c:v>
                </c:pt>
                <c:pt idx="603">
                  <c:v>65</c:v>
                </c:pt>
                <c:pt idx="604">
                  <c:v>65</c:v>
                </c:pt>
                <c:pt idx="605">
                  <c:v>65</c:v>
                </c:pt>
                <c:pt idx="606">
                  <c:v>65</c:v>
                </c:pt>
                <c:pt idx="607">
                  <c:v>65</c:v>
                </c:pt>
                <c:pt idx="608">
                  <c:v>65</c:v>
                </c:pt>
                <c:pt idx="609">
                  <c:v>65</c:v>
                </c:pt>
                <c:pt idx="610">
                  <c:v>65</c:v>
                </c:pt>
                <c:pt idx="611">
                  <c:v>65</c:v>
                </c:pt>
                <c:pt idx="612">
                  <c:v>65</c:v>
                </c:pt>
                <c:pt idx="613">
                  <c:v>65</c:v>
                </c:pt>
                <c:pt idx="614">
                  <c:v>65</c:v>
                </c:pt>
                <c:pt idx="615">
                  <c:v>65</c:v>
                </c:pt>
                <c:pt idx="616">
                  <c:v>65</c:v>
                </c:pt>
                <c:pt idx="617">
                  <c:v>65</c:v>
                </c:pt>
                <c:pt idx="618">
                  <c:v>65</c:v>
                </c:pt>
                <c:pt idx="619">
                  <c:v>65</c:v>
                </c:pt>
                <c:pt idx="620">
                  <c:v>65</c:v>
                </c:pt>
                <c:pt idx="621">
                  <c:v>65</c:v>
                </c:pt>
                <c:pt idx="622">
                  <c:v>65</c:v>
                </c:pt>
                <c:pt idx="623">
                  <c:v>65</c:v>
                </c:pt>
                <c:pt idx="624">
                  <c:v>65</c:v>
                </c:pt>
                <c:pt idx="625">
                  <c:v>65</c:v>
                </c:pt>
                <c:pt idx="626">
                  <c:v>65</c:v>
                </c:pt>
                <c:pt idx="627">
                  <c:v>65</c:v>
                </c:pt>
                <c:pt idx="628">
                  <c:v>65</c:v>
                </c:pt>
                <c:pt idx="629">
                  <c:v>65</c:v>
                </c:pt>
                <c:pt idx="630">
                  <c:v>65</c:v>
                </c:pt>
                <c:pt idx="631">
                  <c:v>65</c:v>
                </c:pt>
                <c:pt idx="632">
                  <c:v>65</c:v>
                </c:pt>
                <c:pt idx="633">
                  <c:v>65</c:v>
                </c:pt>
                <c:pt idx="634">
                  <c:v>65</c:v>
                </c:pt>
                <c:pt idx="635">
                  <c:v>65</c:v>
                </c:pt>
                <c:pt idx="636">
                  <c:v>65</c:v>
                </c:pt>
                <c:pt idx="637">
                  <c:v>65</c:v>
                </c:pt>
                <c:pt idx="638">
                  <c:v>65</c:v>
                </c:pt>
                <c:pt idx="639">
                  <c:v>65</c:v>
                </c:pt>
                <c:pt idx="640">
                  <c:v>65</c:v>
                </c:pt>
                <c:pt idx="641">
                  <c:v>65</c:v>
                </c:pt>
                <c:pt idx="642">
                  <c:v>65</c:v>
                </c:pt>
                <c:pt idx="643">
                  <c:v>65</c:v>
                </c:pt>
                <c:pt idx="644">
                  <c:v>65</c:v>
                </c:pt>
                <c:pt idx="645">
                  <c:v>65</c:v>
                </c:pt>
                <c:pt idx="646">
                  <c:v>65</c:v>
                </c:pt>
                <c:pt idx="647">
                  <c:v>65</c:v>
                </c:pt>
                <c:pt idx="648">
                  <c:v>65</c:v>
                </c:pt>
                <c:pt idx="649">
                  <c:v>65</c:v>
                </c:pt>
                <c:pt idx="650">
                  <c:v>65</c:v>
                </c:pt>
                <c:pt idx="651">
                  <c:v>65</c:v>
                </c:pt>
                <c:pt idx="652">
                  <c:v>65</c:v>
                </c:pt>
                <c:pt idx="653">
                  <c:v>65</c:v>
                </c:pt>
                <c:pt idx="654">
                  <c:v>65</c:v>
                </c:pt>
                <c:pt idx="655">
                  <c:v>65</c:v>
                </c:pt>
                <c:pt idx="656">
                  <c:v>65</c:v>
                </c:pt>
                <c:pt idx="657">
                  <c:v>65</c:v>
                </c:pt>
                <c:pt idx="658">
                  <c:v>65</c:v>
                </c:pt>
                <c:pt idx="659">
                  <c:v>65</c:v>
                </c:pt>
                <c:pt idx="660">
                  <c:v>80</c:v>
                </c:pt>
                <c:pt idx="661">
                  <c:v>80</c:v>
                </c:pt>
                <c:pt idx="662">
                  <c:v>80</c:v>
                </c:pt>
                <c:pt idx="663">
                  <c:v>80</c:v>
                </c:pt>
                <c:pt idx="664">
                  <c:v>80</c:v>
                </c:pt>
                <c:pt idx="665">
                  <c:v>80</c:v>
                </c:pt>
                <c:pt idx="666">
                  <c:v>80</c:v>
                </c:pt>
                <c:pt idx="667">
                  <c:v>80</c:v>
                </c:pt>
                <c:pt idx="668">
                  <c:v>80</c:v>
                </c:pt>
                <c:pt idx="669">
                  <c:v>80</c:v>
                </c:pt>
                <c:pt idx="670">
                  <c:v>80</c:v>
                </c:pt>
                <c:pt idx="671">
                  <c:v>80</c:v>
                </c:pt>
                <c:pt idx="672">
                  <c:v>80</c:v>
                </c:pt>
                <c:pt idx="673">
                  <c:v>80</c:v>
                </c:pt>
                <c:pt idx="674">
                  <c:v>80</c:v>
                </c:pt>
                <c:pt idx="675">
                  <c:v>80</c:v>
                </c:pt>
                <c:pt idx="676">
                  <c:v>80</c:v>
                </c:pt>
                <c:pt idx="677">
                  <c:v>80</c:v>
                </c:pt>
                <c:pt idx="678">
                  <c:v>80</c:v>
                </c:pt>
                <c:pt idx="679">
                  <c:v>80</c:v>
                </c:pt>
                <c:pt idx="680">
                  <c:v>80</c:v>
                </c:pt>
                <c:pt idx="681">
                  <c:v>80</c:v>
                </c:pt>
                <c:pt idx="682">
                  <c:v>80</c:v>
                </c:pt>
                <c:pt idx="683">
                  <c:v>80</c:v>
                </c:pt>
                <c:pt idx="684">
                  <c:v>80</c:v>
                </c:pt>
                <c:pt idx="685">
                  <c:v>80</c:v>
                </c:pt>
                <c:pt idx="686">
                  <c:v>80</c:v>
                </c:pt>
                <c:pt idx="687">
                  <c:v>80</c:v>
                </c:pt>
                <c:pt idx="688">
                  <c:v>80</c:v>
                </c:pt>
                <c:pt idx="689">
                  <c:v>80</c:v>
                </c:pt>
                <c:pt idx="690">
                  <c:v>80</c:v>
                </c:pt>
                <c:pt idx="691">
                  <c:v>80</c:v>
                </c:pt>
                <c:pt idx="692">
                  <c:v>80</c:v>
                </c:pt>
                <c:pt idx="693">
                  <c:v>80</c:v>
                </c:pt>
                <c:pt idx="694">
                  <c:v>80</c:v>
                </c:pt>
                <c:pt idx="695">
                  <c:v>80</c:v>
                </c:pt>
                <c:pt idx="696">
                  <c:v>80</c:v>
                </c:pt>
                <c:pt idx="697">
                  <c:v>80</c:v>
                </c:pt>
                <c:pt idx="698">
                  <c:v>80</c:v>
                </c:pt>
                <c:pt idx="699">
                  <c:v>80</c:v>
                </c:pt>
                <c:pt idx="700">
                  <c:v>80</c:v>
                </c:pt>
                <c:pt idx="701">
                  <c:v>80</c:v>
                </c:pt>
                <c:pt idx="702">
                  <c:v>80</c:v>
                </c:pt>
                <c:pt idx="703">
                  <c:v>80</c:v>
                </c:pt>
                <c:pt idx="704">
                  <c:v>80</c:v>
                </c:pt>
                <c:pt idx="705">
                  <c:v>80</c:v>
                </c:pt>
                <c:pt idx="706">
                  <c:v>80</c:v>
                </c:pt>
                <c:pt idx="707">
                  <c:v>80</c:v>
                </c:pt>
                <c:pt idx="708">
                  <c:v>80</c:v>
                </c:pt>
                <c:pt idx="709">
                  <c:v>80</c:v>
                </c:pt>
                <c:pt idx="710">
                  <c:v>80</c:v>
                </c:pt>
                <c:pt idx="711">
                  <c:v>80</c:v>
                </c:pt>
                <c:pt idx="712">
                  <c:v>80</c:v>
                </c:pt>
                <c:pt idx="713">
                  <c:v>80</c:v>
                </c:pt>
                <c:pt idx="714">
                  <c:v>80</c:v>
                </c:pt>
                <c:pt idx="715">
                  <c:v>80</c:v>
                </c:pt>
                <c:pt idx="716">
                  <c:v>80</c:v>
                </c:pt>
                <c:pt idx="717">
                  <c:v>80</c:v>
                </c:pt>
                <c:pt idx="718">
                  <c:v>80</c:v>
                </c:pt>
                <c:pt idx="719">
                  <c:v>80</c:v>
                </c:pt>
                <c:pt idx="720">
                  <c:v>80</c:v>
                </c:pt>
                <c:pt idx="721">
                  <c:v>80</c:v>
                </c:pt>
                <c:pt idx="722">
                  <c:v>80</c:v>
                </c:pt>
                <c:pt idx="723">
                  <c:v>80</c:v>
                </c:pt>
                <c:pt idx="724">
                  <c:v>80</c:v>
                </c:pt>
                <c:pt idx="725">
                  <c:v>80</c:v>
                </c:pt>
                <c:pt idx="726">
                  <c:v>80</c:v>
                </c:pt>
                <c:pt idx="727">
                  <c:v>80</c:v>
                </c:pt>
                <c:pt idx="728">
                  <c:v>80</c:v>
                </c:pt>
                <c:pt idx="729">
                  <c:v>80</c:v>
                </c:pt>
                <c:pt idx="730">
                  <c:v>80</c:v>
                </c:pt>
                <c:pt idx="731">
                  <c:v>80</c:v>
                </c:pt>
                <c:pt idx="732">
                  <c:v>80</c:v>
                </c:pt>
                <c:pt idx="733">
                  <c:v>80</c:v>
                </c:pt>
                <c:pt idx="734">
                  <c:v>80</c:v>
                </c:pt>
                <c:pt idx="735">
                  <c:v>80</c:v>
                </c:pt>
                <c:pt idx="736">
                  <c:v>80</c:v>
                </c:pt>
                <c:pt idx="737">
                  <c:v>80</c:v>
                </c:pt>
                <c:pt idx="738">
                  <c:v>80</c:v>
                </c:pt>
                <c:pt idx="739">
                  <c:v>80</c:v>
                </c:pt>
                <c:pt idx="740">
                  <c:v>80</c:v>
                </c:pt>
                <c:pt idx="741">
                  <c:v>80</c:v>
                </c:pt>
                <c:pt idx="742">
                  <c:v>80</c:v>
                </c:pt>
                <c:pt idx="743">
                  <c:v>80</c:v>
                </c:pt>
                <c:pt idx="744">
                  <c:v>80</c:v>
                </c:pt>
                <c:pt idx="745">
                  <c:v>80</c:v>
                </c:pt>
                <c:pt idx="746">
                  <c:v>80</c:v>
                </c:pt>
                <c:pt idx="747">
                  <c:v>80</c:v>
                </c:pt>
                <c:pt idx="748">
                  <c:v>80</c:v>
                </c:pt>
                <c:pt idx="749">
                  <c:v>80</c:v>
                </c:pt>
                <c:pt idx="750">
                  <c:v>80</c:v>
                </c:pt>
                <c:pt idx="751">
                  <c:v>80</c:v>
                </c:pt>
                <c:pt idx="752">
                  <c:v>80</c:v>
                </c:pt>
                <c:pt idx="753">
                  <c:v>80</c:v>
                </c:pt>
                <c:pt idx="754">
                  <c:v>80</c:v>
                </c:pt>
                <c:pt idx="755">
                  <c:v>80</c:v>
                </c:pt>
                <c:pt idx="756">
                  <c:v>80</c:v>
                </c:pt>
                <c:pt idx="757">
                  <c:v>80</c:v>
                </c:pt>
                <c:pt idx="758">
                  <c:v>80</c:v>
                </c:pt>
                <c:pt idx="759">
                  <c:v>80</c:v>
                </c:pt>
                <c:pt idx="760">
                  <c:v>80</c:v>
                </c:pt>
                <c:pt idx="761">
                  <c:v>80</c:v>
                </c:pt>
                <c:pt idx="762">
                  <c:v>80</c:v>
                </c:pt>
                <c:pt idx="763">
                  <c:v>80</c:v>
                </c:pt>
                <c:pt idx="764">
                  <c:v>80</c:v>
                </c:pt>
                <c:pt idx="765">
                  <c:v>80</c:v>
                </c:pt>
                <c:pt idx="766">
                  <c:v>80</c:v>
                </c:pt>
                <c:pt idx="767">
                  <c:v>80</c:v>
                </c:pt>
                <c:pt idx="768">
                  <c:v>80</c:v>
                </c:pt>
                <c:pt idx="769">
                  <c:v>80</c:v>
                </c:pt>
                <c:pt idx="770">
                  <c:v>80</c:v>
                </c:pt>
                <c:pt idx="771">
                  <c:v>80</c:v>
                </c:pt>
                <c:pt idx="772">
                  <c:v>80</c:v>
                </c:pt>
                <c:pt idx="773">
                  <c:v>80</c:v>
                </c:pt>
                <c:pt idx="774">
                  <c:v>80</c:v>
                </c:pt>
                <c:pt idx="775">
                  <c:v>80</c:v>
                </c:pt>
                <c:pt idx="776">
                  <c:v>80</c:v>
                </c:pt>
                <c:pt idx="777">
                  <c:v>80</c:v>
                </c:pt>
                <c:pt idx="778">
                  <c:v>80</c:v>
                </c:pt>
                <c:pt idx="779">
                  <c:v>80</c:v>
                </c:pt>
                <c:pt idx="780">
                  <c:v>80</c:v>
                </c:pt>
                <c:pt idx="781">
                  <c:v>80</c:v>
                </c:pt>
                <c:pt idx="782">
                  <c:v>80</c:v>
                </c:pt>
                <c:pt idx="783">
                  <c:v>80</c:v>
                </c:pt>
                <c:pt idx="784">
                  <c:v>80</c:v>
                </c:pt>
                <c:pt idx="785">
                  <c:v>80</c:v>
                </c:pt>
                <c:pt idx="786">
                  <c:v>80</c:v>
                </c:pt>
                <c:pt idx="787">
                  <c:v>80</c:v>
                </c:pt>
                <c:pt idx="788">
                  <c:v>80</c:v>
                </c:pt>
                <c:pt idx="789">
                  <c:v>80</c:v>
                </c:pt>
                <c:pt idx="790">
                  <c:v>80</c:v>
                </c:pt>
                <c:pt idx="791">
                  <c:v>80</c:v>
                </c:pt>
                <c:pt idx="792">
                  <c:v>80</c:v>
                </c:pt>
                <c:pt idx="793">
                  <c:v>80</c:v>
                </c:pt>
                <c:pt idx="794">
                  <c:v>80</c:v>
                </c:pt>
                <c:pt idx="795">
                  <c:v>80</c:v>
                </c:pt>
                <c:pt idx="796">
                  <c:v>80</c:v>
                </c:pt>
                <c:pt idx="797">
                  <c:v>80</c:v>
                </c:pt>
                <c:pt idx="798">
                  <c:v>80</c:v>
                </c:pt>
                <c:pt idx="799">
                  <c:v>80</c:v>
                </c:pt>
                <c:pt idx="800">
                  <c:v>80</c:v>
                </c:pt>
                <c:pt idx="801">
                  <c:v>80</c:v>
                </c:pt>
                <c:pt idx="802">
                  <c:v>80</c:v>
                </c:pt>
                <c:pt idx="803">
                  <c:v>80</c:v>
                </c:pt>
                <c:pt idx="804">
                  <c:v>80</c:v>
                </c:pt>
                <c:pt idx="805">
                  <c:v>80</c:v>
                </c:pt>
                <c:pt idx="806">
                  <c:v>80</c:v>
                </c:pt>
                <c:pt idx="807">
                  <c:v>80</c:v>
                </c:pt>
                <c:pt idx="808">
                  <c:v>80</c:v>
                </c:pt>
                <c:pt idx="809">
                  <c:v>80</c:v>
                </c:pt>
                <c:pt idx="810">
                  <c:v>80</c:v>
                </c:pt>
                <c:pt idx="811">
                  <c:v>80</c:v>
                </c:pt>
                <c:pt idx="812">
                  <c:v>80</c:v>
                </c:pt>
                <c:pt idx="813">
                  <c:v>80</c:v>
                </c:pt>
                <c:pt idx="814">
                  <c:v>80</c:v>
                </c:pt>
                <c:pt idx="815">
                  <c:v>80</c:v>
                </c:pt>
                <c:pt idx="816">
                  <c:v>80</c:v>
                </c:pt>
                <c:pt idx="817">
                  <c:v>80</c:v>
                </c:pt>
                <c:pt idx="818">
                  <c:v>80</c:v>
                </c:pt>
                <c:pt idx="819">
                  <c:v>80</c:v>
                </c:pt>
                <c:pt idx="820">
                  <c:v>80</c:v>
                </c:pt>
                <c:pt idx="821">
                  <c:v>80</c:v>
                </c:pt>
                <c:pt idx="822">
                  <c:v>80</c:v>
                </c:pt>
                <c:pt idx="823">
                  <c:v>80</c:v>
                </c:pt>
                <c:pt idx="824">
                  <c:v>80</c:v>
                </c:pt>
                <c:pt idx="825">
                  <c:v>80</c:v>
                </c:pt>
                <c:pt idx="826">
                  <c:v>80</c:v>
                </c:pt>
                <c:pt idx="827">
                  <c:v>80</c:v>
                </c:pt>
                <c:pt idx="828">
                  <c:v>80</c:v>
                </c:pt>
                <c:pt idx="829">
                  <c:v>80</c:v>
                </c:pt>
                <c:pt idx="830">
                  <c:v>80</c:v>
                </c:pt>
                <c:pt idx="831">
                  <c:v>80</c:v>
                </c:pt>
                <c:pt idx="832">
                  <c:v>80</c:v>
                </c:pt>
                <c:pt idx="833">
                  <c:v>80</c:v>
                </c:pt>
                <c:pt idx="834">
                  <c:v>80</c:v>
                </c:pt>
                <c:pt idx="835">
                  <c:v>80</c:v>
                </c:pt>
                <c:pt idx="836">
                  <c:v>80</c:v>
                </c:pt>
                <c:pt idx="837">
                  <c:v>80</c:v>
                </c:pt>
                <c:pt idx="838">
                  <c:v>80</c:v>
                </c:pt>
                <c:pt idx="839">
                  <c:v>80</c:v>
                </c:pt>
                <c:pt idx="840">
                  <c:v>80</c:v>
                </c:pt>
                <c:pt idx="841">
                  <c:v>80</c:v>
                </c:pt>
                <c:pt idx="842">
                  <c:v>80</c:v>
                </c:pt>
                <c:pt idx="843">
                  <c:v>80</c:v>
                </c:pt>
                <c:pt idx="844">
                  <c:v>80</c:v>
                </c:pt>
                <c:pt idx="845">
                  <c:v>80</c:v>
                </c:pt>
                <c:pt idx="846">
                  <c:v>80</c:v>
                </c:pt>
                <c:pt idx="847">
                  <c:v>80</c:v>
                </c:pt>
                <c:pt idx="848">
                  <c:v>80</c:v>
                </c:pt>
                <c:pt idx="849">
                  <c:v>80</c:v>
                </c:pt>
                <c:pt idx="850">
                  <c:v>80</c:v>
                </c:pt>
                <c:pt idx="851">
                  <c:v>80</c:v>
                </c:pt>
                <c:pt idx="852">
                  <c:v>80</c:v>
                </c:pt>
                <c:pt idx="853">
                  <c:v>80</c:v>
                </c:pt>
                <c:pt idx="854">
                  <c:v>80</c:v>
                </c:pt>
                <c:pt idx="855">
                  <c:v>80</c:v>
                </c:pt>
                <c:pt idx="856">
                  <c:v>80</c:v>
                </c:pt>
                <c:pt idx="857">
                  <c:v>80</c:v>
                </c:pt>
                <c:pt idx="858">
                  <c:v>80</c:v>
                </c:pt>
                <c:pt idx="859">
                  <c:v>80</c:v>
                </c:pt>
                <c:pt idx="860">
                  <c:v>80</c:v>
                </c:pt>
                <c:pt idx="861">
                  <c:v>80</c:v>
                </c:pt>
                <c:pt idx="862">
                  <c:v>80</c:v>
                </c:pt>
                <c:pt idx="863">
                  <c:v>80</c:v>
                </c:pt>
                <c:pt idx="864">
                  <c:v>80</c:v>
                </c:pt>
                <c:pt idx="865">
                  <c:v>80</c:v>
                </c:pt>
                <c:pt idx="866">
                  <c:v>80</c:v>
                </c:pt>
                <c:pt idx="867">
                  <c:v>80</c:v>
                </c:pt>
                <c:pt idx="868">
                  <c:v>80</c:v>
                </c:pt>
                <c:pt idx="869">
                  <c:v>80</c:v>
                </c:pt>
                <c:pt idx="870">
                  <c:v>80</c:v>
                </c:pt>
                <c:pt idx="871">
                  <c:v>80</c:v>
                </c:pt>
                <c:pt idx="872">
                  <c:v>80</c:v>
                </c:pt>
                <c:pt idx="873">
                  <c:v>80</c:v>
                </c:pt>
                <c:pt idx="874">
                  <c:v>80</c:v>
                </c:pt>
                <c:pt idx="875">
                  <c:v>80</c:v>
                </c:pt>
                <c:pt idx="876">
                  <c:v>80</c:v>
                </c:pt>
                <c:pt idx="877">
                  <c:v>80</c:v>
                </c:pt>
                <c:pt idx="878">
                  <c:v>80</c:v>
                </c:pt>
                <c:pt idx="879">
                  <c:v>80</c:v>
                </c:pt>
                <c:pt idx="880">
                  <c:v>80</c:v>
                </c:pt>
                <c:pt idx="881">
                  <c:v>80</c:v>
                </c:pt>
                <c:pt idx="882">
                  <c:v>80</c:v>
                </c:pt>
                <c:pt idx="883">
                  <c:v>80</c:v>
                </c:pt>
                <c:pt idx="884">
                  <c:v>80</c:v>
                </c:pt>
                <c:pt idx="885">
                  <c:v>80</c:v>
                </c:pt>
                <c:pt idx="886">
                  <c:v>80</c:v>
                </c:pt>
                <c:pt idx="887">
                  <c:v>80</c:v>
                </c:pt>
                <c:pt idx="888">
                  <c:v>80</c:v>
                </c:pt>
                <c:pt idx="889">
                  <c:v>80</c:v>
                </c:pt>
                <c:pt idx="890">
                  <c:v>80</c:v>
                </c:pt>
                <c:pt idx="891">
                  <c:v>80</c:v>
                </c:pt>
                <c:pt idx="892">
                  <c:v>80</c:v>
                </c:pt>
                <c:pt idx="893">
                  <c:v>80</c:v>
                </c:pt>
                <c:pt idx="894">
                  <c:v>80</c:v>
                </c:pt>
                <c:pt idx="895">
                  <c:v>80</c:v>
                </c:pt>
                <c:pt idx="896">
                  <c:v>80</c:v>
                </c:pt>
                <c:pt idx="897">
                  <c:v>80</c:v>
                </c:pt>
                <c:pt idx="898">
                  <c:v>80</c:v>
                </c:pt>
                <c:pt idx="899">
                  <c:v>80</c:v>
                </c:pt>
                <c:pt idx="900">
                  <c:v>80</c:v>
                </c:pt>
                <c:pt idx="901">
                  <c:v>80</c:v>
                </c:pt>
                <c:pt idx="902">
                  <c:v>80</c:v>
                </c:pt>
                <c:pt idx="903">
                  <c:v>80</c:v>
                </c:pt>
                <c:pt idx="904">
                  <c:v>80</c:v>
                </c:pt>
                <c:pt idx="905">
                  <c:v>80</c:v>
                </c:pt>
                <c:pt idx="906">
                  <c:v>80</c:v>
                </c:pt>
                <c:pt idx="907">
                  <c:v>80</c:v>
                </c:pt>
                <c:pt idx="908">
                  <c:v>80</c:v>
                </c:pt>
                <c:pt idx="909">
                  <c:v>80</c:v>
                </c:pt>
                <c:pt idx="910">
                  <c:v>80</c:v>
                </c:pt>
                <c:pt idx="911">
                  <c:v>80</c:v>
                </c:pt>
                <c:pt idx="912">
                  <c:v>80</c:v>
                </c:pt>
                <c:pt idx="913">
                  <c:v>80</c:v>
                </c:pt>
                <c:pt idx="914">
                  <c:v>80</c:v>
                </c:pt>
                <c:pt idx="915">
                  <c:v>80</c:v>
                </c:pt>
                <c:pt idx="916">
                  <c:v>80</c:v>
                </c:pt>
                <c:pt idx="917">
                  <c:v>80</c:v>
                </c:pt>
                <c:pt idx="918">
                  <c:v>80</c:v>
                </c:pt>
                <c:pt idx="919">
                  <c:v>80</c:v>
                </c:pt>
                <c:pt idx="920">
                  <c:v>80</c:v>
                </c:pt>
                <c:pt idx="921">
                  <c:v>80</c:v>
                </c:pt>
                <c:pt idx="922">
                  <c:v>80</c:v>
                </c:pt>
                <c:pt idx="923">
                  <c:v>80</c:v>
                </c:pt>
                <c:pt idx="924">
                  <c:v>80</c:v>
                </c:pt>
                <c:pt idx="925">
                  <c:v>80</c:v>
                </c:pt>
                <c:pt idx="926">
                  <c:v>80</c:v>
                </c:pt>
                <c:pt idx="927">
                  <c:v>80</c:v>
                </c:pt>
                <c:pt idx="928">
                  <c:v>80</c:v>
                </c:pt>
                <c:pt idx="929">
                  <c:v>80</c:v>
                </c:pt>
                <c:pt idx="930">
                  <c:v>80</c:v>
                </c:pt>
                <c:pt idx="931">
                  <c:v>80</c:v>
                </c:pt>
                <c:pt idx="932">
                  <c:v>80</c:v>
                </c:pt>
                <c:pt idx="933">
                  <c:v>80</c:v>
                </c:pt>
                <c:pt idx="934">
                  <c:v>80</c:v>
                </c:pt>
                <c:pt idx="935">
                  <c:v>80</c:v>
                </c:pt>
                <c:pt idx="936">
                  <c:v>80</c:v>
                </c:pt>
                <c:pt idx="937">
                  <c:v>80</c:v>
                </c:pt>
                <c:pt idx="938">
                  <c:v>80</c:v>
                </c:pt>
                <c:pt idx="939">
                  <c:v>80</c:v>
                </c:pt>
                <c:pt idx="940">
                  <c:v>80</c:v>
                </c:pt>
                <c:pt idx="941">
                  <c:v>80</c:v>
                </c:pt>
                <c:pt idx="942">
                  <c:v>80</c:v>
                </c:pt>
                <c:pt idx="943">
                  <c:v>80</c:v>
                </c:pt>
                <c:pt idx="944">
                  <c:v>80</c:v>
                </c:pt>
                <c:pt idx="945">
                  <c:v>80</c:v>
                </c:pt>
                <c:pt idx="946">
                  <c:v>80</c:v>
                </c:pt>
                <c:pt idx="947">
                  <c:v>80</c:v>
                </c:pt>
                <c:pt idx="948">
                  <c:v>80</c:v>
                </c:pt>
                <c:pt idx="949">
                  <c:v>80</c:v>
                </c:pt>
                <c:pt idx="950">
                  <c:v>80</c:v>
                </c:pt>
                <c:pt idx="951">
                  <c:v>80</c:v>
                </c:pt>
                <c:pt idx="952">
                  <c:v>80</c:v>
                </c:pt>
                <c:pt idx="953">
                  <c:v>80</c:v>
                </c:pt>
                <c:pt idx="954">
                  <c:v>80</c:v>
                </c:pt>
                <c:pt idx="955">
                  <c:v>80</c:v>
                </c:pt>
                <c:pt idx="956">
                  <c:v>80</c:v>
                </c:pt>
                <c:pt idx="957">
                  <c:v>80</c:v>
                </c:pt>
                <c:pt idx="958">
                  <c:v>80</c:v>
                </c:pt>
                <c:pt idx="959">
                  <c:v>80</c:v>
                </c:pt>
                <c:pt idx="960">
                  <c:v>80</c:v>
                </c:pt>
                <c:pt idx="961">
                  <c:v>80</c:v>
                </c:pt>
                <c:pt idx="962">
                  <c:v>80</c:v>
                </c:pt>
                <c:pt idx="963">
                  <c:v>80</c:v>
                </c:pt>
                <c:pt idx="964">
                  <c:v>80</c:v>
                </c:pt>
                <c:pt idx="965">
                  <c:v>80</c:v>
                </c:pt>
                <c:pt idx="966">
                  <c:v>80</c:v>
                </c:pt>
                <c:pt idx="967">
                  <c:v>80</c:v>
                </c:pt>
                <c:pt idx="968">
                  <c:v>80</c:v>
                </c:pt>
                <c:pt idx="969">
                  <c:v>80</c:v>
                </c:pt>
                <c:pt idx="970">
                  <c:v>80</c:v>
                </c:pt>
                <c:pt idx="971">
                  <c:v>80</c:v>
                </c:pt>
                <c:pt idx="972">
                  <c:v>80</c:v>
                </c:pt>
                <c:pt idx="973">
                  <c:v>80</c:v>
                </c:pt>
                <c:pt idx="974">
                  <c:v>80</c:v>
                </c:pt>
                <c:pt idx="975">
                  <c:v>80</c:v>
                </c:pt>
                <c:pt idx="976">
                  <c:v>80</c:v>
                </c:pt>
                <c:pt idx="977">
                  <c:v>80</c:v>
                </c:pt>
                <c:pt idx="978">
                  <c:v>80</c:v>
                </c:pt>
                <c:pt idx="979">
                  <c:v>80</c:v>
                </c:pt>
                <c:pt idx="980">
                  <c:v>80</c:v>
                </c:pt>
                <c:pt idx="981">
                  <c:v>80</c:v>
                </c:pt>
                <c:pt idx="982">
                  <c:v>80</c:v>
                </c:pt>
                <c:pt idx="983">
                  <c:v>80</c:v>
                </c:pt>
                <c:pt idx="984">
                  <c:v>80</c:v>
                </c:pt>
                <c:pt idx="985">
                  <c:v>80</c:v>
                </c:pt>
                <c:pt idx="986">
                  <c:v>80</c:v>
                </c:pt>
                <c:pt idx="987">
                  <c:v>80</c:v>
                </c:pt>
                <c:pt idx="988">
                  <c:v>80</c:v>
                </c:pt>
                <c:pt idx="989">
                  <c:v>80</c:v>
                </c:pt>
                <c:pt idx="990">
                  <c:v>80</c:v>
                </c:pt>
                <c:pt idx="991">
                  <c:v>80</c:v>
                </c:pt>
                <c:pt idx="992">
                  <c:v>80</c:v>
                </c:pt>
                <c:pt idx="993">
                  <c:v>80</c:v>
                </c:pt>
                <c:pt idx="994">
                  <c:v>80</c:v>
                </c:pt>
                <c:pt idx="995">
                  <c:v>80</c:v>
                </c:pt>
                <c:pt idx="996">
                  <c:v>80</c:v>
                </c:pt>
                <c:pt idx="997">
                  <c:v>80</c:v>
                </c:pt>
                <c:pt idx="998">
                  <c:v>80</c:v>
                </c:pt>
                <c:pt idx="999">
                  <c:v>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72C-444E-9C54-CC34820C0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833231"/>
        <c:axId val="501858671"/>
      </c:scatterChart>
      <c:valAx>
        <c:axId val="501833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858671"/>
        <c:crosses val="autoZero"/>
        <c:crossBetween val="midCat"/>
      </c:valAx>
      <c:valAx>
        <c:axId val="50185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833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Sheet1!$R$1</c:f>
              <c:strCache>
                <c:ptCount val="1"/>
                <c:pt idx="0">
                  <c:v>tsp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Sheet1!$Q$2:$Q$1001</c:f>
              <c:numCache>
                <c:formatCode>General</c:formatCode>
                <c:ptCount val="10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</c:v>
                </c:pt>
                <c:pt idx="231">
                  <c:v>23.2</c:v>
                </c:pt>
                <c:pt idx="232">
                  <c:v>23.3</c:v>
                </c:pt>
                <c:pt idx="233">
                  <c:v>23.4</c:v>
                </c:pt>
                <c:pt idx="234">
                  <c:v>23.5</c:v>
                </c:pt>
                <c:pt idx="235">
                  <c:v>23.6</c:v>
                </c:pt>
                <c:pt idx="236">
                  <c:v>23.7</c:v>
                </c:pt>
                <c:pt idx="237">
                  <c:v>23.8</c:v>
                </c:pt>
                <c:pt idx="238">
                  <c:v>23.9</c:v>
                </c:pt>
                <c:pt idx="239">
                  <c:v>24</c:v>
                </c:pt>
                <c:pt idx="240">
                  <c:v>24.1</c:v>
                </c:pt>
                <c:pt idx="241">
                  <c:v>24.2</c:v>
                </c:pt>
                <c:pt idx="242">
                  <c:v>24.3</c:v>
                </c:pt>
                <c:pt idx="243">
                  <c:v>24.4</c:v>
                </c:pt>
                <c:pt idx="244">
                  <c:v>24.5</c:v>
                </c:pt>
                <c:pt idx="245">
                  <c:v>24.6</c:v>
                </c:pt>
                <c:pt idx="246">
                  <c:v>24.7</c:v>
                </c:pt>
                <c:pt idx="247">
                  <c:v>24.8</c:v>
                </c:pt>
                <c:pt idx="248">
                  <c:v>24.9</c:v>
                </c:pt>
                <c:pt idx="249">
                  <c:v>25</c:v>
                </c:pt>
                <c:pt idx="250">
                  <c:v>25.1</c:v>
                </c:pt>
                <c:pt idx="251">
                  <c:v>25.2</c:v>
                </c:pt>
                <c:pt idx="252">
                  <c:v>25.3</c:v>
                </c:pt>
                <c:pt idx="253">
                  <c:v>25.4</c:v>
                </c:pt>
                <c:pt idx="254">
                  <c:v>25.5</c:v>
                </c:pt>
                <c:pt idx="255">
                  <c:v>25.6</c:v>
                </c:pt>
                <c:pt idx="256">
                  <c:v>25.7</c:v>
                </c:pt>
                <c:pt idx="257">
                  <c:v>25.8</c:v>
                </c:pt>
                <c:pt idx="258">
                  <c:v>25.9</c:v>
                </c:pt>
                <c:pt idx="259">
                  <c:v>26</c:v>
                </c:pt>
                <c:pt idx="260">
                  <c:v>26.1</c:v>
                </c:pt>
                <c:pt idx="261">
                  <c:v>26.2</c:v>
                </c:pt>
                <c:pt idx="262">
                  <c:v>26.3</c:v>
                </c:pt>
                <c:pt idx="263">
                  <c:v>26.4</c:v>
                </c:pt>
                <c:pt idx="264">
                  <c:v>26.5</c:v>
                </c:pt>
                <c:pt idx="265">
                  <c:v>26.6</c:v>
                </c:pt>
                <c:pt idx="266">
                  <c:v>26.7</c:v>
                </c:pt>
                <c:pt idx="267">
                  <c:v>26.8</c:v>
                </c:pt>
                <c:pt idx="268">
                  <c:v>26.9</c:v>
                </c:pt>
                <c:pt idx="269">
                  <c:v>27</c:v>
                </c:pt>
                <c:pt idx="270">
                  <c:v>27.1</c:v>
                </c:pt>
                <c:pt idx="271">
                  <c:v>27.2</c:v>
                </c:pt>
                <c:pt idx="272">
                  <c:v>27.3</c:v>
                </c:pt>
                <c:pt idx="273">
                  <c:v>27.4</c:v>
                </c:pt>
                <c:pt idx="274">
                  <c:v>27.5</c:v>
                </c:pt>
                <c:pt idx="275">
                  <c:v>27.6</c:v>
                </c:pt>
                <c:pt idx="276">
                  <c:v>27.7</c:v>
                </c:pt>
                <c:pt idx="277">
                  <c:v>27.8</c:v>
                </c:pt>
                <c:pt idx="278">
                  <c:v>27.9</c:v>
                </c:pt>
                <c:pt idx="279">
                  <c:v>28</c:v>
                </c:pt>
                <c:pt idx="280">
                  <c:v>28.1</c:v>
                </c:pt>
                <c:pt idx="281">
                  <c:v>28.2</c:v>
                </c:pt>
                <c:pt idx="282">
                  <c:v>28.3</c:v>
                </c:pt>
                <c:pt idx="283">
                  <c:v>28.4</c:v>
                </c:pt>
                <c:pt idx="284">
                  <c:v>28.5</c:v>
                </c:pt>
                <c:pt idx="285">
                  <c:v>28.6</c:v>
                </c:pt>
                <c:pt idx="286">
                  <c:v>28.7</c:v>
                </c:pt>
                <c:pt idx="287">
                  <c:v>28.8</c:v>
                </c:pt>
                <c:pt idx="288">
                  <c:v>28.9</c:v>
                </c:pt>
                <c:pt idx="289">
                  <c:v>29</c:v>
                </c:pt>
                <c:pt idx="290">
                  <c:v>29.1</c:v>
                </c:pt>
                <c:pt idx="291">
                  <c:v>29.2</c:v>
                </c:pt>
                <c:pt idx="292">
                  <c:v>29.3</c:v>
                </c:pt>
                <c:pt idx="293">
                  <c:v>29.4</c:v>
                </c:pt>
                <c:pt idx="294">
                  <c:v>29.5</c:v>
                </c:pt>
                <c:pt idx="295">
                  <c:v>29.6</c:v>
                </c:pt>
                <c:pt idx="296">
                  <c:v>29.7</c:v>
                </c:pt>
                <c:pt idx="297">
                  <c:v>29.8</c:v>
                </c:pt>
                <c:pt idx="298">
                  <c:v>29.9</c:v>
                </c:pt>
                <c:pt idx="299">
                  <c:v>30</c:v>
                </c:pt>
                <c:pt idx="300">
                  <c:v>30.1</c:v>
                </c:pt>
                <c:pt idx="301">
                  <c:v>30.2</c:v>
                </c:pt>
                <c:pt idx="302">
                  <c:v>30.3</c:v>
                </c:pt>
                <c:pt idx="303">
                  <c:v>30.4</c:v>
                </c:pt>
                <c:pt idx="304">
                  <c:v>30.5</c:v>
                </c:pt>
                <c:pt idx="305">
                  <c:v>30.6</c:v>
                </c:pt>
                <c:pt idx="306">
                  <c:v>30.7</c:v>
                </c:pt>
                <c:pt idx="307">
                  <c:v>30.8</c:v>
                </c:pt>
                <c:pt idx="308">
                  <c:v>30.9</c:v>
                </c:pt>
                <c:pt idx="309">
                  <c:v>31</c:v>
                </c:pt>
                <c:pt idx="310">
                  <c:v>31.1</c:v>
                </c:pt>
                <c:pt idx="311">
                  <c:v>31.2</c:v>
                </c:pt>
                <c:pt idx="312">
                  <c:v>31.3</c:v>
                </c:pt>
                <c:pt idx="313">
                  <c:v>31.4</c:v>
                </c:pt>
                <c:pt idx="314">
                  <c:v>31.5</c:v>
                </c:pt>
                <c:pt idx="315">
                  <c:v>31.6</c:v>
                </c:pt>
                <c:pt idx="316">
                  <c:v>31.7</c:v>
                </c:pt>
                <c:pt idx="317">
                  <c:v>31.8</c:v>
                </c:pt>
                <c:pt idx="318">
                  <c:v>31.9</c:v>
                </c:pt>
                <c:pt idx="319">
                  <c:v>32</c:v>
                </c:pt>
                <c:pt idx="320">
                  <c:v>32.1</c:v>
                </c:pt>
                <c:pt idx="321">
                  <c:v>32.200000000000003</c:v>
                </c:pt>
                <c:pt idx="322">
                  <c:v>32.299999999999997</c:v>
                </c:pt>
                <c:pt idx="323">
                  <c:v>32.4</c:v>
                </c:pt>
                <c:pt idx="324">
                  <c:v>32.5</c:v>
                </c:pt>
                <c:pt idx="325">
                  <c:v>32.6</c:v>
                </c:pt>
                <c:pt idx="326">
                  <c:v>32.700000000000003</c:v>
                </c:pt>
                <c:pt idx="327">
                  <c:v>32.799999999999997</c:v>
                </c:pt>
                <c:pt idx="328">
                  <c:v>32.9</c:v>
                </c:pt>
                <c:pt idx="329">
                  <c:v>33</c:v>
                </c:pt>
                <c:pt idx="330">
                  <c:v>33.1</c:v>
                </c:pt>
                <c:pt idx="331">
                  <c:v>33.200000000000003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33.5</c:v>
                </c:pt>
                <c:pt idx="335">
                  <c:v>33.6</c:v>
                </c:pt>
                <c:pt idx="336">
                  <c:v>33.700000000000003</c:v>
                </c:pt>
                <c:pt idx="337">
                  <c:v>33.799999999999997</c:v>
                </c:pt>
                <c:pt idx="338">
                  <c:v>33.9</c:v>
                </c:pt>
                <c:pt idx="339">
                  <c:v>34</c:v>
                </c:pt>
                <c:pt idx="340">
                  <c:v>34.1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34.4</c:v>
                </c:pt>
                <c:pt idx="344">
                  <c:v>34.5</c:v>
                </c:pt>
                <c:pt idx="345">
                  <c:v>34.6</c:v>
                </c:pt>
                <c:pt idx="346">
                  <c:v>34.700000000000003</c:v>
                </c:pt>
                <c:pt idx="347">
                  <c:v>34.799999999999997</c:v>
                </c:pt>
                <c:pt idx="348">
                  <c:v>34.9</c:v>
                </c:pt>
                <c:pt idx="349">
                  <c:v>35</c:v>
                </c:pt>
                <c:pt idx="350">
                  <c:v>35.1</c:v>
                </c:pt>
                <c:pt idx="351">
                  <c:v>35.200000000000003</c:v>
                </c:pt>
                <c:pt idx="352">
                  <c:v>35.299999999999997</c:v>
                </c:pt>
                <c:pt idx="353">
                  <c:v>35.4</c:v>
                </c:pt>
                <c:pt idx="354">
                  <c:v>35.5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35.799999999999997</c:v>
                </c:pt>
                <c:pt idx="358">
                  <c:v>35.9</c:v>
                </c:pt>
                <c:pt idx="359">
                  <c:v>36</c:v>
                </c:pt>
                <c:pt idx="360">
                  <c:v>36.1</c:v>
                </c:pt>
                <c:pt idx="361">
                  <c:v>36.200000000000003</c:v>
                </c:pt>
                <c:pt idx="362">
                  <c:v>36.299999999999997</c:v>
                </c:pt>
                <c:pt idx="363">
                  <c:v>36.4</c:v>
                </c:pt>
                <c:pt idx="364">
                  <c:v>36.5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37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37.299999999999997</c:v>
                </c:pt>
                <c:pt idx="373">
                  <c:v>37.4</c:v>
                </c:pt>
                <c:pt idx="374">
                  <c:v>37.5</c:v>
                </c:pt>
                <c:pt idx="375">
                  <c:v>37.6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38</c:v>
                </c:pt>
                <c:pt idx="380">
                  <c:v>38.1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38.4</c:v>
                </c:pt>
                <c:pt idx="384">
                  <c:v>38.5</c:v>
                </c:pt>
                <c:pt idx="385">
                  <c:v>38.6</c:v>
                </c:pt>
                <c:pt idx="386">
                  <c:v>38.700000000000003</c:v>
                </c:pt>
                <c:pt idx="387">
                  <c:v>38.799999999999997</c:v>
                </c:pt>
                <c:pt idx="388">
                  <c:v>38.9</c:v>
                </c:pt>
                <c:pt idx="389">
                  <c:v>39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39.299999999999997</c:v>
                </c:pt>
                <c:pt idx="393">
                  <c:v>39.4</c:v>
                </c:pt>
                <c:pt idx="394">
                  <c:v>39.5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39.9</c:v>
                </c:pt>
                <c:pt idx="399">
                  <c:v>40</c:v>
                </c:pt>
                <c:pt idx="400">
                  <c:v>40.1</c:v>
                </c:pt>
                <c:pt idx="401">
                  <c:v>40.200000000000003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40.5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40.799999999999997</c:v>
                </c:pt>
                <c:pt idx="408">
                  <c:v>40.9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41.3</c:v>
                </c:pt>
                <c:pt idx="413">
                  <c:v>41.4</c:v>
                </c:pt>
                <c:pt idx="414">
                  <c:v>41.5</c:v>
                </c:pt>
                <c:pt idx="415">
                  <c:v>41.6</c:v>
                </c:pt>
                <c:pt idx="416">
                  <c:v>41.7</c:v>
                </c:pt>
                <c:pt idx="417">
                  <c:v>41.8</c:v>
                </c:pt>
                <c:pt idx="418">
                  <c:v>41.9</c:v>
                </c:pt>
                <c:pt idx="419">
                  <c:v>42</c:v>
                </c:pt>
                <c:pt idx="420">
                  <c:v>42.1</c:v>
                </c:pt>
                <c:pt idx="421">
                  <c:v>42.2</c:v>
                </c:pt>
                <c:pt idx="422">
                  <c:v>42.3</c:v>
                </c:pt>
                <c:pt idx="423">
                  <c:v>42.4</c:v>
                </c:pt>
                <c:pt idx="424">
                  <c:v>42.5</c:v>
                </c:pt>
                <c:pt idx="425">
                  <c:v>42.6</c:v>
                </c:pt>
                <c:pt idx="426">
                  <c:v>42.7</c:v>
                </c:pt>
                <c:pt idx="427">
                  <c:v>42.8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43.2</c:v>
                </c:pt>
                <c:pt idx="432">
                  <c:v>43.3</c:v>
                </c:pt>
                <c:pt idx="433">
                  <c:v>43.4</c:v>
                </c:pt>
                <c:pt idx="434">
                  <c:v>43.5</c:v>
                </c:pt>
                <c:pt idx="435">
                  <c:v>43.6</c:v>
                </c:pt>
                <c:pt idx="436">
                  <c:v>43.7</c:v>
                </c:pt>
                <c:pt idx="437">
                  <c:v>43.8</c:v>
                </c:pt>
                <c:pt idx="438">
                  <c:v>43.9</c:v>
                </c:pt>
                <c:pt idx="439">
                  <c:v>44</c:v>
                </c:pt>
                <c:pt idx="440">
                  <c:v>44.1</c:v>
                </c:pt>
                <c:pt idx="441">
                  <c:v>44.2</c:v>
                </c:pt>
                <c:pt idx="442">
                  <c:v>44.3</c:v>
                </c:pt>
                <c:pt idx="443">
                  <c:v>44.4</c:v>
                </c:pt>
                <c:pt idx="444">
                  <c:v>44.5</c:v>
                </c:pt>
                <c:pt idx="445">
                  <c:v>44.6</c:v>
                </c:pt>
                <c:pt idx="446">
                  <c:v>44.7</c:v>
                </c:pt>
                <c:pt idx="447">
                  <c:v>44.8</c:v>
                </c:pt>
                <c:pt idx="448">
                  <c:v>44.9</c:v>
                </c:pt>
                <c:pt idx="449">
                  <c:v>45</c:v>
                </c:pt>
                <c:pt idx="450">
                  <c:v>45.1</c:v>
                </c:pt>
                <c:pt idx="451">
                  <c:v>45.2</c:v>
                </c:pt>
                <c:pt idx="452">
                  <c:v>45.3</c:v>
                </c:pt>
                <c:pt idx="453">
                  <c:v>45.4</c:v>
                </c:pt>
                <c:pt idx="454">
                  <c:v>45.5</c:v>
                </c:pt>
                <c:pt idx="455">
                  <c:v>45.6</c:v>
                </c:pt>
                <c:pt idx="456">
                  <c:v>45.7</c:v>
                </c:pt>
                <c:pt idx="457">
                  <c:v>45.8</c:v>
                </c:pt>
                <c:pt idx="458">
                  <c:v>45.9</c:v>
                </c:pt>
                <c:pt idx="459">
                  <c:v>46</c:v>
                </c:pt>
                <c:pt idx="460">
                  <c:v>46.1</c:v>
                </c:pt>
                <c:pt idx="461">
                  <c:v>46.2</c:v>
                </c:pt>
                <c:pt idx="462">
                  <c:v>46.3</c:v>
                </c:pt>
                <c:pt idx="463">
                  <c:v>46.4</c:v>
                </c:pt>
                <c:pt idx="464">
                  <c:v>46.5</c:v>
                </c:pt>
                <c:pt idx="465">
                  <c:v>46.6</c:v>
                </c:pt>
                <c:pt idx="466">
                  <c:v>46.7</c:v>
                </c:pt>
                <c:pt idx="467">
                  <c:v>46.8</c:v>
                </c:pt>
                <c:pt idx="468">
                  <c:v>46.9</c:v>
                </c:pt>
                <c:pt idx="469">
                  <c:v>47</c:v>
                </c:pt>
                <c:pt idx="470">
                  <c:v>47.1</c:v>
                </c:pt>
                <c:pt idx="471">
                  <c:v>47.2</c:v>
                </c:pt>
                <c:pt idx="472">
                  <c:v>47.3</c:v>
                </c:pt>
                <c:pt idx="473">
                  <c:v>47.4</c:v>
                </c:pt>
                <c:pt idx="474">
                  <c:v>47.5</c:v>
                </c:pt>
                <c:pt idx="475">
                  <c:v>47.6</c:v>
                </c:pt>
                <c:pt idx="476">
                  <c:v>47.7</c:v>
                </c:pt>
                <c:pt idx="477">
                  <c:v>47.8</c:v>
                </c:pt>
                <c:pt idx="478">
                  <c:v>47.9</c:v>
                </c:pt>
                <c:pt idx="479">
                  <c:v>48</c:v>
                </c:pt>
                <c:pt idx="480">
                  <c:v>48.1</c:v>
                </c:pt>
                <c:pt idx="481">
                  <c:v>48.2</c:v>
                </c:pt>
                <c:pt idx="482">
                  <c:v>48.3</c:v>
                </c:pt>
                <c:pt idx="483">
                  <c:v>48.4</c:v>
                </c:pt>
                <c:pt idx="484">
                  <c:v>48.5</c:v>
                </c:pt>
                <c:pt idx="485">
                  <c:v>48.6</c:v>
                </c:pt>
                <c:pt idx="486">
                  <c:v>48.7</c:v>
                </c:pt>
                <c:pt idx="487">
                  <c:v>48.8</c:v>
                </c:pt>
                <c:pt idx="488">
                  <c:v>48.9</c:v>
                </c:pt>
                <c:pt idx="489">
                  <c:v>49</c:v>
                </c:pt>
                <c:pt idx="490">
                  <c:v>49.1</c:v>
                </c:pt>
                <c:pt idx="491">
                  <c:v>49.2</c:v>
                </c:pt>
                <c:pt idx="492">
                  <c:v>49.3</c:v>
                </c:pt>
                <c:pt idx="493">
                  <c:v>49.4</c:v>
                </c:pt>
                <c:pt idx="494">
                  <c:v>49.5</c:v>
                </c:pt>
                <c:pt idx="495">
                  <c:v>49.6</c:v>
                </c:pt>
                <c:pt idx="496">
                  <c:v>49.7</c:v>
                </c:pt>
                <c:pt idx="497">
                  <c:v>49.8</c:v>
                </c:pt>
                <c:pt idx="498">
                  <c:v>49.9</c:v>
                </c:pt>
                <c:pt idx="499">
                  <c:v>50</c:v>
                </c:pt>
                <c:pt idx="500">
                  <c:v>50.1</c:v>
                </c:pt>
                <c:pt idx="501">
                  <c:v>50.2</c:v>
                </c:pt>
                <c:pt idx="502">
                  <c:v>50.3</c:v>
                </c:pt>
                <c:pt idx="503">
                  <c:v>50.4</c:v>
                </c:pt>
                <c:pt idx="504">
                  <c:v>50.5</c:v>
                </c:pt>
                <c:pt idx="505">
                  <c:v>50.6</c:v>
                </c:pt>
                <c:pt idx="506">
                  <c:v>50.7</c:v>
                </c:pt>
                <c:pt idx="507">
                  <c:v>50.8</c:v>
                </c:pt>
                <c:pt idx="508">
                  <c:v>50.9</c:v>
                </c:pt>
                <c:pt idx="509">
                  <c:v>51</c:v>
                </c:pt>
                <c:pt idx="510">
                  <c:v>51.1</c:v>
                </c:pt>
                <c:pt idx="511">
                  <c:v>51.2</c:v>
                </c:pt>
                <c:pt idx="512">
                  <c:v>51.3</c:v>
                </c:pt>
                <c:pt idx="513">
                  <c:v>51.4</c:v>
                </c:pt>
                <c:pt idx="514">
                  <c:v>51.5</c:v>
                </c:pt>
                <c:pt idx="515">
                  <c:v>51.6</c:v>
                </c:pt>
                <c:pt idx="516">
                  <c:v>51.7</c:v>
                </c:pt>
                <c:pt idx="517">
                  <c:v>51.8</c:v>
                </c:pt>
                <c:pt idx="518">
                  <c:v>51.9</c:v>
                </c:pt>
                <c:pt idx="519">
                  <c:v>52</c:v>
                </c:pt>
                <c:pt idx="520">
                  <c:v>52.1</c:v>
                </c:pt>
                <c:pt idx="521">
                  <c:v>52.2</c:v>
                </c:pt>
                <c:pt idx="522">
                  <c:v>52.3</c:v>
                </c:pt>
                <c:pt idx="523">
                  <c:v>52.4</c:v>
                </c:pt>
                <c:pt idx="524">
                  <c:v>52.5</c:v>
                </c:pt>
                <c:pt idx="525">
                  <c:v>52.6</c:v>
                </c:pt>
                <c:pt idx="526">
                  <c:v>52.7</c:v>
                </c:pt>
                <c:pt idx="527">
                  <c:v>52.8</c:v>
                </c:pt>
                <c:pt idx="528">
                  <c:v>52.9</c:v>
                </c:pt>
                <c:pt idx="529">
                  <c:v>53</c:v>
                </c:pt>
                <c:pt idx="530">
                  <c:v>53.1</c:v>
                </c:pt>
                <c:pt idx="531">
                  <c:v>53.2</c:v>
                </c:pt>
                <c:pt idx="532">
                  <c:v>53.3</c:v>
                </c:pt>
                <c:pt idx="533">
                  <c:v>53.4</c:v>
                </c:pt>
                <c:pt idx="534">
                  <c:v>53.5</c:v>
                </c:pt>
                <c:pt idx="535">
                  <c:v>53.6</c:v>
                </c:pt>
                <c:pt idx="536">
                  <c:v>53.7</c:v>
                </c:pt>
                <c:pt idx="537">
                  <c:v>53.8</c:v>
                </c:pt>
                <c:pt idx="538">
                  <c:v>53.9</c:v>
                </c:pt>
                <c:pt idx="539">
                  <c:v>54</c:v>
                </c:pt>
                <c:pt idx="540">
                  <c:v>54.1</c:v>
                </c:pt>
                <c:pt idx="541">
                  <c:v>54.2</c:v>
                </c:pt>
                <c:pt idx="542">
                  <c:v>54.3</c:v>
                </c:pt>
                <c:pt idx="543">
                  <c:v>54.4</c:v>
                </c:pt>
                <c:pt idx="544">
                  <c:v>54.5</c:v>
                </c:pt>
                <c:pt idx="545">
                  <c:v>54.6</c:v>
                </c:pt>
                <c:pt idx="546">
                  <c:v>54.7</c:v>
                </c:pt>
                <c:pt idx="547">
                  <c:v>54.8</c:v>
                </c:pt>
                <c:pt idx="548">
                  <c:v>54.9</c:v>
                </c:pt>
                <c:pt idx="549">
                  <c:v>55</c:v>
                </c:pt>
                <c:pt idx="550">
                  <c:v>55.1</c:v>
                </c:pt>
                <c:pt idx="551">
                  <c:v>55.2</c:v>
                </c:pt>
                <c:pt idx="552">
                  <c:v>55.3</c:v>
                </c:pt>
                <c:pt idx="553">
                  <c:v>55.4</c:v>
                </c:pt>
                <c:pt idx="554">
                  <c:v>55.5</c:v>
                </c:pt>
                <c:pt idx="555">
                  <c:v>55.6</c:v>
                </c:pt>
                <c:pt idx="556">
                  <c:v>55.7</c:v>
                </c:pt>
                <c:pt idx="557">
                  <c:v>55.8</c:v>
                </c:pt>
                <c:pt idx="558">
                  <c:v>55.9</c:v>
                </c:pt>
                <c:pt idx="559">
                  <c:v>56</c:v>
                </c:pt>
                <c:pt idx="560">
                  <c:v>56.1</c:v>
                </c:pt>
                <c:pt idx="561">
                  <c:v>56.2</c:v>
                </c:pt>
                <c:pt idx="562">
                  <c:v>56.3</c:v>
                </c:pt>
                <c:pt idx="563">
                  <c:v>56.4</c:v>
                </c:pt>
                <c:pt idx="564">
                  <c:v>56.5</c:v>
                </c:pt>
                <c:pt idx="565">
                  <c:v>56.6</c:v>
                </c:pt>
                <c:pt idx="566">
                  <c:v>56.7</c:v>
                </c:pt>
                <c:pt idx="567">
                  <c:v>56.8</c:v>
                </c:pt>
                <c:pt idx="568">
                  <c:v>56.9</c:v>
                </c:pt>
                <c:pt idx="569">
                  <c:v>57</c:v>
                </c:pt>
                <c:pt idx="570">
                  <c:v>57.1</c:v>
                </c:pt>
                <c:pt idx="571">
                  <c:v>57.2</c:v>
                </c:pt>
                <c:pt idx="572">
                  <c:v>57.3</c:v>
                </c:pt>
                <c:pt idx="573">
                  <c:v>57.4</c:v>
                </c:pt>
                <c:pt idx="574">
                  <c:v>57.5</c:v>
                </c:pt>
                <c:pt idx="575">
                  <c:v>57.6</c:v>
                </c:pt>
                <c:pt idx="576">
                  <c:v>57.7</c:v>
                </c:pt>
                <c:pt idx="577">
                  <c:v>57.8</c:v>
                </c:pt>
                <c:pt idx="578">
                  <c:v>57.9</c:v>
                </c:pt>
                <c:pt idx="579">
                  <c:v>58</c:v>
                </c:pt>
                <c:pt idx="580">
                  <c:v>58.1</c:v>
                </c:pt>
                <c:pt idx="581">
                  <c:v>58.2</c:v>
                </c:pt>
                <c:pt idx="582">
                  <c:v>58.3</c:v>
                </c:pt>
                <c:pt idx="583">
                  <c:v>58.4</c:v>
                </c:pt>
                <c:pt idx="584">
                  <c:v>58.5</c:v>
                </c:pt>
                <c:pt idx="585">
                  <c:v>58.6</c:v>
                </c:pt>
                <c:pt idx="586">
                  <c:v>58.7</c:v>
                </c:pt>
                <c:pt idx="587">
                  <c:v>58.8</c:v>
                </c:pt>
                <c:pt idx="588">
                  <c:v>58.9</c:v>
                </c:pt>
                <c:pt idx="589">
                  <c:v>59</c:v>
                </c:pt>
                <c:pt idx="590">
                  <c:v>59.1</c:v>
                </c:pt>
                <c:pt idx="591">
                  <c:v>59.2</c:v>
                </c:pt>
                <c:pt idx="592">
                  <c:v>59.3</c:v>
                </c:pt>
                <c:pt idx="593">
                  <c:v>59.4</c:v>
                </c:pt>
                <c:pt idx="594">
                  <c:v>59.5</c:v>
                </c:pt>
                <c:pt idx="595">
                  <c:v>59.6</c:v>
                </c:pt>
                <c:pt idx="596">
                  <c:v>59.7</c:v>
                </c:pt>
                <c:pt idx="597">
                  <c:v>59.8</c:v>
                </c:pt>
                <c:pt idx="598">
                  <c:v>59.9</c:v>
                </c:pt>
                <c:pt idx="599">
                  <c:v>60</c:v>
                </c:pt>
                <c:pt idx="600">
                  <c:v>60.1</c:v>
                </c:pt>
                <c:pt idx="601">
                  <c:v>60.2</c:v>
                </c:pt>
                <c:pt idx="602">
                  <c:v>60.3</c:v>
                </c:pt>
                <c:pt idx="603">
                  <c:v>60.4</c:v>
                </c:pt>
                <c:pt idx="604">
                  <c:v>60.5</c:v>
                </c:pt>
                <c:pt idx="605">
                  <c:v>60.6</c:v>
                </c:pt>
                <c:pt idx="606">
                  <c:v>60.7</c:v>
                </c:pt>
                <c:pt idx="607">
                  <c:v>60.8</c:v>
                </c:pt>
                <c:pt idx="608">
                  <c:v>60.9</c:v>
                </c:pt>
                <c:pt idx="609">
                  <c:v>61</c:v>
                </c:pt>
                <c:pt idx="610">
                  <c:v>61.1</c:v>
                </c:pt>
                <c:pt idx="611">
                  <c:v>61.2</c:v>
                </c:pt>
                <c:pt idx="612">
                  <c:v>61.3</c:v>
                </c:pt>
                <c:pt idx="613">
                  <c:v>61.4</c:v>
                </c:pt>
                <c:pt idx="614">
                  <c:v>61.5</c:v>
                </c:pt>
                <c:pt idx="615">
                  <c:v>61.6</c:v>
                </c:pt>
                <c:pt idx="616">
                  <c:v>61.7</c:v>
                </c:pt>
                <c:pt idx="617">
                  <c:v>61.8</c:v>
                </c:pt>
                <c:pt idx="618">
                  <c:v>61.9</c:v>
                </c:pt>
                <c:pt idx="619">
                  <c:v>62</c:v>
                </c:pt>
                <c:pt idx="620">
                  <c:v>62.1</c:v>
                </c:pt>
                <c:pt idx="621">
                  <c:v>62.2</c:v>
                </c:pt>
                <c:pt idx="622">
                  <c:v>62.3</c:v>
                </c:pt>
                <c:pt idx="623">
                  <c:v>62.4</c:v>
                </c:pt>
                <c:pt idx="624">
                  <c:v>62.5</c:v>
                </c:pt>
                <c:pt idx="625">
                  <c:v>62.6</c:v>
                </c:pt>
                <c:pt idx="626">
                  <c:v>62.7</c:v>
                </c:pt>
                <c:pt idx="627">
                  <c:v>62.8</c:v>
                </c:pt>
                <c:pt idx="628">
                  <c:v>62.9</c:v>
                </c:pt>
                <c:pt idx="629">
                  <c:v>63</c:v>
                </c:pt>
                <c:pt idx="630">
                  <c:v>63.1</c:v>
                </c:pt>
                <c:pt idx="631">
                  <c:v>63.2</c:v>
                </c:pt>
                <c:pt idx="632">
                  <c:v>63.3</c:v>
                </c:pt>
                <c:pt idx="633">
                  <c:v>63.4</c:v>
                </c:pt>
                <c:pt idx="634">
                  <c:v>63.5</c:v>
                </c:pt>
                <c:pt idx="635">
                  <c:v>63.6</c:v>
                </c:pt>
                <c:pt idx="636">
                  <c:v>63.7</c:v>
                </c:pt>
                <c:pt idx="637">
                  <c:v>63.8</c:v>
                </c:pt>
                <c:pt idx="638">
                  <c:v>63.9</c:v>
                </c:pt>
                <c:pt idx="639">
                  <c:v>64</c:v>
                </c:pt>
                <c:pt idx="640">
                  <c:v>64.099999999999994</c:v>
                </c:pt>
                <c:pt idx="641">
                  <c:v>64.2</c:v>
                </c:pt>
                <c:pt idx="642">
                  <c:v>64.3</c:v>
                </c:pt>
                <c:pt idx="643">
                  <c:v>64.400000000000006</c:v>
                </c:pt>
                <c:pt idx="644">
                  <c:v>64.5</c:v>
                </c:pt>
                <c:pt idx="645">
                  <c:v>64.599999999999994</c:v>
                </c:pt>
                <c:pt idx="646">
                  <c:v>64.7</c:v>
                </c:pt>
                <c:pt idx="647">
                  <c:v>64.8</c:v>
                </c:pt>
                <c:pt idx="648">
                  <c:v>64.900000000000006</c:v>
                </c:pt>
                <c:pt idx="649">
                  <c:v>65</c:v>
                </c:pt>
                <c:pt idx="650">
                  <c:v>65.099999999999994</c:v>
                </c:pt>
                <c:pt idx="651">
                  <c:v>65.2</c:v>
                </c:pt>
                <c:pt idx="652">
                  <c:v>65.3</c:v>
                </c:pt>
                <c:pt idx="653">
                  <c:v>65.400000000000006</c:v>
                </c:pt>
                <c:pt idx="654">
                  <c:v>65.5</c:v>
                </c:pt>
                <c:pt idx="655">
                  <c:v>65.599999999999994</c:v>
                </c:pt>
                <c:pt idx="656">
                  <c:v>65.7</c:v>
                </c:pt>
                <c:pt idx="657">
                  <c:v>65.8</c:v>
                </c:pt>
                <c:pt idx="658">
                  <c:v>65.900000000000006</c:v>
                </c:pt>
                <c:pt idx="659">
                  <c:v>66</c:v>
                </c:pt>
                <c:pt idx="660">
                  <c:v>66.099999999999994</c:v>
                </c:pt>
                <c:pt idx="661">
                  <c:v>66.2</c:v>
                </c:pt>
                <c:pt idx="662">
                  <c:v>66.3</c:v>
                </c:pt>
                <c:pt idx="663">
                  <c:v>66.400000000000006</c:v>
                </c:pt>
                <c:pt idx="664">
                  <c:v>66.5</c:v>
                </c:pt>
                <c:pt idx="665">
                  <c:v>66.599999999999994</c:v>
                </c:pt>
                <c:pt idx="666">
                  <c:v>66.7</c:v>
                </c:pt>
                <c:pt idx="667">
                  <c:v>66.8</c:v>
                </c:pt>
                <c:pt idx="668">
                  <c:v>66.900000000000006</c:v>
                </c:pt>
                <c:pt idx="669">
                  <c:v>67</c:v>
                </c:pt>
                <c:pt idx="670">
                  <c:v>67.099999999999994</c:v>
                </c:pt>
                <c:pt idx="671">
                  <c:v>67.2</c:v>
                </c:pt>
                <c:pt idx="672">
                  <c:v>67.3</c:v>
                </c:pt>
                <c:pt idx="673">
                  <c:v>67.400000000000006</c:v>
                </c:pt>
                <c:pt idx="674">
                  <c:v>67.5</c:v>
                </c:pt>
                <c:pt idx="675">
                  <c:v>67.599999999999994</c:v>
                </c:pt>
                <c:pt idx="676">
                  <c:v>67.7</c:v>
                </c:pt>
                <c:pt idx="677">
                  <c:v>67.8</c:v>
                </c:pt>
                <c:pt idx="678">
                  <c:v>67.900000000000006</c:v>
                </c:pt>
                <c:pt idx="679">
                  <c:v>68</c:v>
                </c:pt>
                <c:pt idx="680">
                  <c:v>68.099999999999994</c:v>
                </c:pt>
                <c:pt idx="681">
                  <c:v>68.2</c:v>
                </c:pt>
                <c:pt idx="682">
                  <c:v>68.3</c:v>
                </c:pt>
                <c:pt idx="683">
                  <c:v>68.400000000000006</c:v>
                </c:pt>
                <c:pt idx="684">
                  <c:v>68.5</c:v>
                </c:pt>
                <c:pt idx="685">
                  <c:v>68.599999999999994</c:v>
                </c:pt>
                <c:pt idx="686">
                  <c:v>68.7</c:v>
                </c:pt>
                <c:pt idx="687">
                  <c:v>68.8</c:v>
                </c:pt>
                <c:pt idx="688">
                  <c:v>68.900000000000006</c:v>
                </c:pt>
                <c:pt idx="689">
                  <c:v>69</c:v>
                </c:pt>
                <c:pt idx="690">
                  <c:v>69.099999999999994</c:v>
                </c:pt>
                <c:pt idx="691">
                  <c:v>69.2</c:v>
                </c:pt>
                <c:pt idx="692">
                  <c:v>69.3</c:v>
                </c:pt>
                <c:pt idx="693">
                  <c:v>69.400000000000006</c:v>
                </c:pt>
                <c:pt idx="694">
                  <c:v>69.5</c:v>
                </c:pt>
                <c:pt idx="695">
                  <c:v>69.599999999999994</c:v>
                </c:pt>
                <c:pt idx="696">
                  <c:v>69.7</c:v>
                </c:pt>
                <c:pt idx="697">
                  <c:v>69.8</c:v>
                </c:pt>
                <c:pt idx="698">
                  <c:v>69.900000000000006</c:v>
                </c:pt>
                <c:pt idx="699">
                  <c:v>70</c:v>
                </c:pt>
                <c:pt idx="700">
                  <c:v>70.099999999999994</c:v>
                </c:pt>
                <c:pt idx="701">
                  <c:v>70.2</c:v>
                </c:pt>
                <c:pt idx="702">
                  <c:v>70.3</c:v>
                </c:pt>
                <c:pt idx="703">
                  <c:v>70.400000000000006</c:v>
                </c:pt>
                <c:pt idx="704">
                  <c:v>70.5</c:v>
                </c:pt>
                <c:pt idx="705">
                  <c:v>70.599999999999994</c:v>
                </c:pt>
                <c:pt idx="706">
                  <c:v>70.7</c:v>
                </c:pt>
                <c:pt idx="707">
                  <c:v>70.8</c:v>
                </c:pt>
                <c:pt idx="708">
                  <c:v>70.900000000000006</c:v>
                </c:pt>
                <c:pt idx="709">
                  <c:v>71</c:v>
                </c:pt>
                <c:pt idx="710">
                  <c:v>71.099999999999994</c:v>
                </c:pt>
                <c:pt idx="711">
                  <c:v>71.2</c:v>
                </c:pt>
                <c:pt idx="712">
                  <c:v>71.3</c:v>
                </c:pt>
                <c:pt idx="713">
                  <c:v>71.400000000000006</c:v>
                </c:pt>
                <c:pt idx="714">
                  <c:v>71.5</c:v>
                </c:pt>
                <c:pt idx="715">
                  <c:v>71.599999999999994</c:v>
                </c:pt>
                <c:pt idx="716">
                  <c:v>71.7</c:v>
                </c:pt>
                <c:pt idx="717">
                  <c:v>71.8</c:v>
                </c:pt>
                <c:pt idx="718">
                  <c:v>71.900000000000006</c:v>
                </c:pt>
                <c:pt idx="719">
                  <c:v>72</c:v>
                </c:pt>
                <c:pt idx="720">
                  <c:v>72.099999999999994</c:v>
                </c:pt>
                <c:pt idx="721">
                  <c:v>72.2</c:v>
                </c:pt>
                <c:pt idx="722">
                  <c:v>72.3</c:v>
                </c:pt>
                <c:pt idx="723">
                  <c:v>72.400000000000006</c:v>
                </c:pt>
                <c:pt idx="724">
                  <c:v>72.5</c:v>
                </c:pt>
                <c:pt idx="725">
                  <c:v>72.599999999999994</c:v>
                </c:pt>
                <c:pt idx="726">
                  <c:v>72.7</c:v>
                </c:pt>
                <c:pt idx="727">
                  <c:v>72.8</c:v>
                </c:pt>
                <c:pt idx="728">
                  <c:v>72.900000000000006</c:v>
                </c:pt>
                <c:pt idx="729">
                  <c:v>73</c:v>
                </c:pt>
                <c:pt idx="730">
                  <c:v>73.099999999999994</c:v>
                </c:pt>
                <c:pt idx="731">
                  <c:v>73.2</c:v>
                </c:pt>
                <c:pt idx="732">
                  <c:v>73.3</c:v>
                </c:pt>
                <c:pt idx="733">
                  <c:v>73.400000000000006</c:v>
                </c:pt>
                <c:pt idx="734">
                  <c:v>73.5</c:v>
                </c:pt>
                <c:pt idx="735">
                  <c:v>73.599999999999994</c:v>
                </c:pt>
                <c:pt idx="736">
                  <c:v>73.7</c:v>
                </c:pt>
                <c:pt idx="737">
                  <c:v>73.8</c:v>
                </c:pt>
                <c:pt idx="738">
                  <c:v>73.900000000000006</c:v>
                </c:pt>
                <c:pt idx="739">
                  <c:v>74</c:v>
                </c:pt>
                <c:pt idx="740">
                  <c:v>74.099999999999994</c:v>
                </c:pt>
                <c:pt idx="741">
                  <c:v>74.2</c:v>
                </c:pt>
                <c:pt idx="742">
                  <c:v>74.3</c:v>
                </c:pt>
                <c:pt idx="743">
                  <c:v>74.400000000000006</c:v>
                </c:pt>
                <c:pt idx="744">
                  <c:v>74.5</c:v>
                </c:pt>
                <c:pt idx="745">
                  <c:v>74.599999999999994</c:v>
                </c:pt>
                <c:pt idx="746">
                  <c:v>74.7</c:v>
                </c:pt>
                <c:pt idx="747">
                  <c:v>74.8</c:v>
                </c:pt>
                <c:pt idx="748">
                  <c:v>74.900000000000006</c:v>
                </c:pt>
                <c:pt idx="749">
                  <c:v>75</c:v>
                </c:pt>
                <c:pt idx="750">
                  <c:v>75.099999999999994</c:v>
                </c:pt>
                <c:pt idx="751">
                  <c:v>75.2</c:v>
                </c:pt>
                <c:pt idx="752">
                  <c:v>75.3</c:v>
                </c:pt>
                <c:pt idx="753">
                  <c:v>75.400000000000006</c:v>
                </c:pt>
                <c:pt idx="754">
                  <c:v>75.5</c:v>
                </c:pt>
                <c:pt idx="755">
                  <c:v>75.599999999999994</c:v>
                </c:pt>
                <c:pt idx="756">
                  <c:v>75.7</c:v>
                </c:pt>
                <c:pt idx="757">
                  <c:v>75.8</c:v>
                </c:pt>
                <c:pt idx="758">
                  <c:v>75.900000000000006</c:v>
                </c:pt>
                <c:pt idx="759">
                  <c:v>76</c:v>
                </c:pt>
                <c:pt idx="760">
                  <c:v>76.099999999999994</c:v>
                </c:pt>
                <c:pt idx="761">
                  <c:v>76.2</c:v>
                </c:pt>
                <c:pt idx="762">
                  <c:v>76.3</c:v>
                </c:pt>
                <c:pt idx="763">
                  <c:v>76.400000000000006</c:v>
                </c:pt>
                <c:pt idx="764">
                  <c:v>76.5</c:v>
                </c:pt>
                <c:pt idx="765">
                  <c:v>76.599999999999994</c:v>
                </c:pt>
                <c:pt idx="766">
                  <c:v>76.7</c:v>
                </c:pt>
                <c:pt idx="767">
                  <c:v>76.8</c:v>
                </c:pt>
                <c:pt idx="768">
                  <c:v>76.900000000000006</c:v>
                </c:pt>
                <c:pt idx="769">
                  <c:v>77</c:v>
                </c:pt>
                <c:pt idx="770">
                  <c:v>77.099999999999994</c:v>
                </c:pt>
                <c:pt idx="771">
                  <c:v>77.2</c:v>
                </c:pt>
                <c:pt idx="772">
                  <c:v>77.3</c:v>
                </c:pt>
                <c:pt idx="773">
                  <c:v>77.400000000000006</c:v>
                </c:pt>
                <c:pt idx="774">
                  <c:v>77.5</c:v>
                </c:pt>
                <c:pt idx="775">
                  <c:v>77.599999999999994</c:v>
                </c:pt>
                <c:pt idx="776">
                  <c:v>77.7</c:v>
                </c:pt>
                <c:pt idx="777">
                  <c:v>77.8</c:v>
                </c:pt>
                <c:pt idx="778">
                  <c:v>77.900000000000006</c:v>
                </c:pt>
                <c:pt idx="779">
                  <c:v>78</c:v>
                </c:pt>
                <c:pt idx="780">
                  <c:v>78.099999999999994</c:v>
                </c:pt>
                <c:pt idx="781">
                  <c:v>78.2</c:v>
                </c:pt>
                <c:pt idx="782">
                  <c:v>78.3</c:v>
                </c:pt>
                <c:pt idx="783">
                  <c:v>78.400000000000006</c:v>
                </c:pt>
                <c:pt idx="784">
                  <c:v>78.5</c:v>
                </c:pt>
                <c:pt idx="785">
                  <c:v>78.599999999999994</c:v>
                </c:pt>
                <c:pt idx="786">
                  <c:v>78.7</c:v>
                </c:pt>
                <c:pt idx="787">
                  <c:v>78.8</c:v>
                </c:pt>
                <c:pt idx="788">
                  <c:v>78.900000000000006</c:v>
                </c:pt>
                <c:pt idx="789">
                  <c:v>79</c:v>
                </c:pt>
                <c:pt idx="790">
                  <c:v>79.099999999999994</c:v>
                </c:pt>
                <c:pt idx="791">
                  <c:v>79.2</c:v>
                </c:pt>
                <c:pt idx="792">
                  <c:v>79.3</c:v>
                </c:pt>
                <c:pt idx="793">
                  <c:v>79.400000000000006</c:v>
                </c:pt>
                <c:pt idx="794">
                  <c:v>79.5</c:v>
                </c:pt>
                <c:pt idx="795">
                  <c:v>79.599999999999994</c:v>
                </c:pt>
                <c:pt idx="796">
                  <c:v>79.7</c:v>
                </c:pt>
                <c:pt idx="797">
                  <c:v>79.8</c:v>
                </c:pt>
                <c:pt idx="798">
                  <c:v>79.900000000000006</c:v>
                </c:pt>
                <c:pt idx="799">
                  <c:v>80</c:v>
                </c:pt>
                <c:pt idx="800">
                  <c:v>80.099999999999994</c:v>
                </c:pt>
                <c:pt idx="801">
                  <c:v>80.2</c:v>
                </c:pt>
                <c:pt idx="802">
                  <c:v>80.3</c:v>
                </c:pt>
                <c:pt idx="803">
                  <c:v>80.400000000000006</c:v>
                </c:pt>
                <c:pt idx="804">
                  <c:v>80.5</c:v>
                </c:pt>
                <c:pt idx="805">
                  <c:v>80.599999999999994</c:v>
                </c:pt>
                <c:pt idx="806">
                  <c:v>80.7</c:v>
                </c:pt>
                <c:pt idx="807">
                  <c:v>80.8</c:v>
                </c:pt>
                <c:pt idx="808">
                  <c:v>80.900000000000006</c:v>
                </c:pt>
                <c:pt idx="809">
                  <c:v>81</c:v>
                </c:pt>
                <c:pt idx="810">
                  <c:v>81.099999999999994</c:v>
                </c:pt>
                <c:pt idx="811">
                  <c:v>81.2</c:v>
                </c:pt>
                <c:pt idx="812">
                  <c:v>81.3</c:v>
                </c:pt>
                <c:pt idx="813">
                  <c:v>81.400000000000006</c:v>
                </c:pt>
                <c:pt idx="814">
                  <c:v>81.5</c:v>
                </c:pt>
                <c:pt idx="815">
                  <c:v>81.599999999999994</c:v>
                </c:pt>
                <c:pt idx="816">
                  <c:v>81.7</c:v>
                </c:pt>
                <c:pt idx="817">
                  <c:v>81.8</c:v>
                </c:pt>
                <c:pt idx="818">
                  <c:v>81.900000000000006</c:v>
                </c:pt>
                <c:pt idx="819">
                  <c:v>82</c:v>
                </c:pt>
                <c:pt idx="820">
                  <c:v>82.1</c:v>
                </c:pt>
                <c:pt idx="821">
                  <c:v>82.2</c:v>
                </c:pt>
                <c:pt idx="822">
                  <c:v>82.3</c:v>
                </c:pt>
                <c:pt idx="823">
                  <c:v>82.4</c:v>
                </c:pt>
                <c:pt idx="824">
                  <c:v>82.5</c:v>
                </c:pt>
                <c:pt idx="825">
                  <c:v>82.6</c:v>
                </c:pt>
                <c:pt idx="826">
                  <c:v>82.7</c:v>
                </c:pt>
                <c:pt idx="827">
                  <c:v>82.8</c:v>
                </c:pt>
                <c:pt idx="828">
                  <c:v>82.9</c:v>
                </c:pt>
                <c:pt idx="829">
                  <c:v>83</c:v>
                </c:pt>
                <c:pt idx="830">
                  <c:v>83.1</c:v>
                </c:pt>
                <c:pt idx="831">
                  <c:v>83.2</c:v>
                </c:pt>
                <c:pt idx="832">
                  <c:v>83.3</c:v>
                </c:pt>
                <c:pt idx="833">
                  <c:v>83.4</c:v>
                </c:pt>
                <c:pt idx="834">
                  <c:v>83.5</c:v>
                </c:pt>
                <c:pt idx="835">
                  <c:v>83.6</c:v>
                </c:pt>
                <c:pt idx="836">
                  <c:v>83.7</c:v>
                </c:pt>
                <c:pt idx="837">
                  <c:v>83.8</c:v>
                </c:pt>
                <c:pt idx="838">
                  <c:v>83.9</c:v>
                </c:pt>
                <c:pt idx="839">
                  <c:v>84</c:v>
                </c:pt>
                <c:pt idx="840">
                  <c:v>84.1</c:v>
                </c:pt>
                <c:pt idx="841">
                  <c:v>84.2</c:v>
                </c:pt>
                <c:pt idx="842">
                  <c:v>84.3</c:v>
                </c:pt>
                <c:pt idx="843">
                  <c:v>84.4</c:v>
                </c:pt>
                <c:pt idx="844">
                  <c:v>84.5</c:v>
                </c:pt>
                <c:pt idx="845">
                  <c:v>84.6</c:v>
                </c:pt>
                <c:pt idx="846">
                  <c:v>84.7</c:v>
                </c:pt>
                <c:pt idx="847">
                  <c:v>84.8</c:v>
                </c:pt>
                <c:pt idx="848">
                  <c:v>84.9</c:v>
                </c:pt>
                <c:pt idx="849">
                  <c:v>85</c:v>
                </c:pt>
                <c:pt idx="850">
                  <c:v>85.1</c:v>
                </c:pt>
                <c:pt idx="851">
                  <c:v>85.2</c:v>
                </c:pt>
                <c:pt idx="852">
                  <c:v>85.3</c:v>
                </c:pt>
                <c:pt idx="853">
                  <c:v>85.4</c:v>
                </c:pt>
                <c:pt idx="854">
                  <c:v>85.5</c:v>
                </c:pt>
                <c:pt idx="855">
                  <c:v>85.6</c:v>
                </c:pt>
                <c:pt idx="856">
                  <c:v>85.7</c:v>
                </c:pt>
                <c:pt idx="857">
                  <c:v>85.8</c:v>
                </c:pt>
                <c:pt idx="858">
                  <c:v>85.9</c:v>
                </c:pt>
                <c:pt idx="859">
                  <c:v>86</c:v>
                </c:pt>
                <c:pt idx="860">
                  <c:v>86.1</c:v>
                </c:pt>
                <c:pt idx="861">
                  <c:v>86.2</c:v>
                </c:pt>
                <c:pt idx="862">
                  <c:v>86.3</c:v>
                </c:pt>
                <c:pt idx="863">
                  <c:v>86.4</c:v>
                </c:pt>
                <c:pt idx="864">
                  <c:v>86.5</c:v>
                </c:pt>
                <c:pt idx="865">
                  <c:v>86.6</c:v>
                </c:pt>
                <c:pt idx="866">
                  <c:v>86.7</c:v>
                </c:pt>
                <c:pt idx="867">
                  <c:v>86.8</c:v>
                </c:pt>
                <c:pt idx="868">
                  <c:v>86.9</c:v>
                </c:pt>
                <c:pt idx="869">
                  <c:v>87</c:v>
                </c:pt>
                <c:pt idx="870">
                  <c:v>87.1</c:v>
                </c:pt>
                <c:pt idx="871">
                  <c:v>87.2</c:v>
                </c:pt>
                <c:pt idx="872">
                  <c:v>87.3</c:v>
                </c:pt>
                <c:pt idx="873">
                  <c:v>87.4</c:v>
                </c:pt>
                <c:pt idx="874">
                  <c:v>87.5</c:v>
                </c:pt>
                <c:pt idx="875">
                  <c:v>87.6</c:v>
                </c:pt>
                <c:pt idx="876">
                  <c:v>87.7</c:v>
                </c:pt>
                <c:pt idx="877">
                  <c:v>87.8</c:v>
                </c:pt>
                <c:pt idx="878">
                  <c:v>87.9</c:v>
                </c:pt>
                <c:pt idx="879">
                  <c:v>88</c:v>
                </c:pt>
                <c:pt idx="880">
                  <c:v>88.1</c:v>
                </c:pt>
                <c:pt idx="881">
                  <c:v>88.2</c:v>
                </c:pt>
                <c:pt idx="882">
                  <c:v>88.3</c:v>
                </c:pt>
                <c:pt idx="883">
                  <c:v>88.4</c:v>
                </c:pt>
                <c:pt idx="884">
                  <c:v>88.5</c:v>
                </c:pt>
                <c:pt idx="885">
                  <c:v>88.6</c:v>
                </c:pt>
                <c:pt idx="886">
                  <c:v>88.7</c:v>
                </c:pt>
                <c:pt idx="887">
                  <c:v>88.8</c:v>
                </c:pt>
                <c:pt idx="888">
                  <c:v>88.9</c:v>
                </c:pt>
                <c:pt idx="889">
                  <c:v>89</c:v>
                </c:pt>
                <c:pt idx="890">
                  <c:v>89.1</c:v>
                </c:pt>
                <c:pt idx="891">
                  <c:v>89.2</c:v>
                </c:pt>
                <c:pt idx="892">
                  <c:v>89.3</c:v>
                </c:pt>
                <c:pt idx="893">
                  <c:v>89.4</c:v>
                </c:pt>
                <c:pt idx="894">
                  <c:v>89.5</c:v>
                </c:pt>
                <c:pt idx="895">
                  <c:v>89.6</c:v>
                </c:pt>
                <c:pt idx="896">
                  <c:v>89.7</c:v>
                </c:pt>
                <c:pt idx="897">
                  <c:v>89.8</c:v>
                </c:pt>
                <c:pt idx="898">
                  <c:v>89.9</c:v>
                </c:pt>
                <c:pt idx="899">
                  <c:v>90</c:v>
                </c:pt>
                <c:pt idx="900">
                  <c:v>90.1</c:v>
                </c:pt>
                <c:pt idx="901">
                  <c:v>90.2</c:v>
                </c:pt>
                <c:pt idx="902">
                  <c:v>90.3</c:v>
                </c:pt>
                <c:pt idx="903">
                  <c:v>90.4</c:v>
                </c:pt>
                <c:pt idx="904">
                  <c:v>90.5</c:v>
                </c:pt>
                <c:pt idx="905">
                  <c:v>90.6</c:v>
                </c:pt>
                <c:pt idx="906">
                  <c:v>90.7</c:v>
                </c:pt>
                <c:pt idx="907">
                  <c:v>90.8</c:v>
                </c:pt>
                <c:pt idx="908">
                  <c:v>90.9</c:v>
                </c:pt>
                <c:pt idx="909">
                  <c:v>91</c:v>
                </c:pt>
                <c:pt idx="910">
                  <c:v>91.1</c:v>
                </c:pt>
                <c:pt idx="911">
                  <c:v>91.2</c:v>
                </c:pt>
                <c:pt idx="912">
                  <c:v>91.3</c:v>
                </c:pt>
                <c:pt idx="913">
                  <c:v>91.4</c:v>
                </c:pt>
                <c:pt idx="914">
                  <c:v>91.5</c:v>
                </c:pt>
                <c:pt idx="915">
                  <c:v>91.6</c:v>
                </c:pt>
                <c:pt idx="916">
                  <c:v>91.7</c:v>
                </c:pt>
                <c:pt idx="917">
                  <c:v>91.8</c:v>
                </c:pt>
                <c:pt idx="918">
                  <c:v>91.9</c:v>
                </c:pt>
                <c:pt idx="919">
                  <c:v>92</c:v>
                </c:pt>
                <c:pt idx="920">
                  <c:v>92.1</c:v>
                </c:pt>
                <c:pt idx="921">
                  <c:v>92.2</c:v>
                </c:pt>
                <c:pt idx="922">
                  <c:v>92.3</c:v>
                </c:pt>
                <c:pt idx="923">
                  <c:v>92.4</c:v>
                </c:pt>
                <c:pt idx="924">
                  <c:v>92.5</c:v>
                </c:pt>
                <c:pt idx="925">
                  <c:v>92.6</c:v>
                </c:pt>
                <c:pt idx="926">
                  <c:v>92.7</c:v>
                </c:pt>
                <c:pt idx="927">
                  <c:v>92.8</c:v>
                </c:pt>
                <c:pt idx="928">
                  <c:v>92.9</c:v>
                </c:pt>
                <c:pt idx="929">
                  <c:v>93</c:v>
                </c:pt>
                <c:pt idx="930">
                  <c:v>93.1</c:v>
                </c:pt>
                <c:pt idx="931">
                  <c:v>93.2</c:v>
                </c:pt>
                <c:pt idx="932">
                  <c:v>93.3</c:v>
                </c:pt>
                <c:pt idx="933">
                  <c:v>93.4</c:v>
                </c:pt>
                <c:pt idx="934">
                  <c:v>93.5</c:v>
                </c:pt>
                <c:pt idx="935">
                  <c:v>93.6</c:v>
                </c:pt>
                <c:pt idx="936">
                  <c:v>93.7</c:v>
                </c:pt>
                <c:pt idx="937">
                  <c:v>93.8</c:v>
                </c:pt>
                <c:pt idx="938">
                  <c:v>93.9</c:v>
                </c:pt>
                <c:pt idx="939">
                  <c:v>94</c:v>
                </c:pt>
                <c:pt idx="940">
                  <c:v>94.1</c:v>
                </c:pt>
                <c:pt idx="941">
                  <c:v>94.2</c:v>
                </c:pt>
                <c:pt idx="942">
                  <c:v>94.3</c:v>
                </c:pt>
                <c:pt idx="943">
                  <c:v>94.4</c:v>
                </c:pt>
                <c:pt idx="944">
                  <c:v>94.5</c:v>
                </c:pt>
                <c:pt idx="945">
                  <c:v>94.6</c:v>
                </c:pt>
                <c:pt idx="946">
                  <c:v>94.7</c:v>
                </c:pt>
                <c:pt idx="947">
                  <c:v>94.8</c:v>
                </c:pt>
                <c:pt idx="948">
                  <c:v>94.9</c:v>
                </c:pt>
                <c:pt idx="949">
                  <c:v>95</c:v>
                </c:pt>
                <c:pt idx="950">
                  <c:v>95.1</c:v>
                </c:pt>
                <c:pt idx="951">
                  <c:v>95.2</c:v>
                </c:pt>
                <c:pt idx="952">
                  <c:v>95.3</c:v>
                </c:pt>
                <c:pt idx="953">
                  <c:v>95.4</c:v>
                </c:pt>
                <c:pt idx="954">
                  <c:v>95.5</c:v>
                </c:pt>
                <c:pt idx="955">
                  <c:v>95.6</c:v>
                </c:pt>
                <c:pt idx="956">
                  <c:v>95.7</c:v>
                </c:pt>
                <c:pt idx="957">
                  <c:v>95.8</c:v>
                </c:pt>
                <c:pt idx="958">
                  <c:v>95.9</c:v>
                </c:pt>
                <c:pt idx="959">
                  <c:v>96</c:v>
                </c:pt>
                <c:pt idx="960">
                  <c:v>96.1</c:v>
                </c:pt>
                <c:pt idx="961">
                  <c:v>96.2</c:v>
                </c:pt>
                <c:pt idx="962">
                  <c:v>96.3</c:v>
                </c:pt>
                <c:pt idx="963">
                  <c:v>96.4</c:v>
                </c:pt>
                <c:pt idx="964">
                  <c:v>96.5</c:v>
                </c:pt>
                <c:pt idx="965">
                  <c:v>96.6</c:v>
                </c:pt>
                <c:pt idx="966">
                  <c:v>96.7</c:v>
                </c:pt>
                <c:pt idx="967">
                  <c:v>96.8</c:v>
                </c:pt>
                <c:pt idx="968">
                  <c:v>96.9</c:v>
                </c:pt>
                <c:pt idx="969">
                  <c:v>97</c:v>
                </c:pt>
                <c:pt idx="970">
                  <c:v>97.1</c:v>
                </c:pt>
                <c:pt idx="971">
                  <c:v>97.2</c:v>
                </c:pt>
                <c:pt idx="972">
                  <c:v>97.3</c:v>
                </c:pt>
                <c:pt idx="973">
                  <c:v>97.4</c:v>
                </c:pt>
                <c:pt idx="974">
                  <c:v>97.5</c:v>
                </c:pt>
                <c:pt idx="975">
                  <c:v>97.6</c:v>
                </c:pt>
                <c:pt idx="976">
                  <c:v>97.7</c:v>
                </c:pt>
                <c:pt idx="977">
                  <c:v>97.8</c:v>
                </c:pt>
                <c:pt idx="978">
                  <c:v>97.9</c:v>
                </c:pt>
                <c:pt idx="979">
                  <c:v>98</c:v>
                </c:pt>
                <c:pt idx="980">
                  <c:v>98.1</c:v>
                </c:pt>
                <c:pt idx="981">
                  <c:v>98.2</c:v>
                </c:pt>
                <c:pt idx="982">
                  <c:v>98.3</c:v>
                </c:pt>
                <c:pt idx="983">
                  <c:v>98.4</c:v>
                </c:pt>
                <c:pt idx="984">
                  <c:v>98.5</c:v>
                </c:pt>
                <c:pt idx="985">
                  <c:v>98.6</c:v>
                </c:pt>
                <c:pt idx="986">
                  <c:v>98.7</c:v>
                </c:pt>
                <c:pt idx="987">
                  <c:v>98.8</c:v>
                </c:pt>
                <c:pt idx="988">
                  <c:v>98.9</c:v>
                </c:pt>
                <c:pt idx="989">
                  <c:v>99</c:v>
                </c:pt>
                <c:pt idx="990">
                  <c:v>99.1</c:v>
                </c:pt>
                <c:pt idx="991">
                  <c:v>99.2</c:v>
                </c:pt>
                <c:pt idx="992">
                  <c:v>99.3</c:v>
                </c:pt>
                <c:pt idx="993">
                  <c:v>99.4</c:v>
                </c:pt>
                <c:pt idx="994">
                  <c:v>99.5</c:v>
                </c:pt>
                <c:pt idx="995">
                  <c:v>99.6</c:v>
                </c:pt>
                <c:pt idx="996">
                  <c:v>99.7</c:v>
                </c:pt>
                <c:pt idx="997">
                  <c:v>99.8</c:v>
                </c:pt>
                <c:pt idx="998">
                  <c:v>99.9</c:v>
                </c:pt>
                <c:pt idx="999">
                  <c:v>100</c:v>
                </c:pt>
              </c:numCache>
            </c:numRef>
          </c:xVal>
          <c:yVal>
            <c:numRef>
              <c:f>Sheet1!$R$2:$R$1001</c:f>
              <c:numCache>
                <c:formatCode>General</c:formatCode>
                <c:ptCount val="100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50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50</c:v>
                </c:pt>
                <c:pt idx="103">
                  <c:v>50</c:v>
                </c:pt>
                <c:pt idx="104">
                  <c:v>50</c:v>
                </c:pt>
                <c:pt idx="105">
                  <c:v>50</c:v>
                </c:pt>
                <c:pt idx="106">
                  <c:v>50</c:v>
                </c:pt>
                <c:pt idx="107">
                  <c:v>50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50</c:v>
                </c:pt>
                <c:pt idx="122">
                  <c:v>50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50</c:v>
                </c:pt>
                <c:pt idx="148">
                  <c:v>50</c:v>
                </c:pt>
                <c:pt idx="149">
                  <c:v>50</c:v>
                </c:pt>
                <c:pt idx="150">
                  <c:v>50</c:v>
                </c:pt>
                <c:pt idx="151">
                  <c:v>50</c:v>
                </c:pt>
                <c:pt idx="152">
                  <c:v>50</c:v>
                </c:pt>
                <c:pt idx="153">
                  <c:v>50</c:v>
                </c:pt>
                <c:pt idx="154">
                  <c:v>50</c:v>
                </c:pt>
                <c:pt idx="155">
                  <c:v>50</c:v>
                </c:pt>
                <c:pt idx="156">
                  <c:v>50</c:v>
                </c:pt>
                <c:pt idx="157">
                  <c:v>50</c:v>
                </c:pt>
                <c:pt idx="158">
                  <c:v>50</c:v>
                </c:pt>
                <c:pt idx="159">
                  <c:v>50</c:v>
                </c:pt>
                <c:pt idx="160">
                  <c:v>50</c:v>
                </c:pt>
                <c:pt idx="161">
                  <c:v>50</c:v>
                </c:pt>
                <c:pt idx="162">
                  <c:v>50</c:v>
                </c:pt>
                <c:pt idx="163">
                  <c:v>50</c:v>
                </c:pt>
                <c:pt idx="164">
                  <c:v>50</c:v>
                </c:pt>
                <c:pt idx="165">
                  <c:v>50</c:v>
                </c:pt>
                <c:pt idx="166">
                  <c:v>50</c:v>
                </c:pt>
                <c:pt idx="167">
                  <c:v>50</c:v>
                </c:pt>
                <c:pt idx="168">
                  <c:v>50</c:v>
                </c:pt>
                <c:pt idx="169">
                  <c:v>50</c:v>
                </c:pt>
                <c:pt idx="170">
                  <c:v>50</c:v>
                </c:pt>
                <c:pt idx="171">
                  <c:v>50</c:v>
                </c:pt>
                <c:pt idx="172">
                  <c:v>50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50</c:v>
                </c:pt>
                <c:pt idx="177">
                  <c:v>50</c:v>
                </c:pt>
                <c:pt idx="178">
                  <c:v>50</c:v>
                </c:pt>
                <c:pt idx="179">
                  <c:v>50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50</c:v>
                </c:pt>
                <c:pt idx="188">
                  <c:v>50</c:v>
                </c:pt>
                <c:pt idx="189">
                  <c:v>50</c:v>
                </c:pt>
                <c:pt idx="190">
                  <c:v>50</c:v>
                </c:pt>
                <c:pt idx="191">
                  <c:v>50</c:v>
                </c:pt>
                <c:pt idx="192">
                  <c:v>50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50</c:v>
                </c:pt>
                <c:pt idx="197">
                  <c:v>50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</c:v>
                </c:pt>
                <c:pt idx="206">
                  <c:v>50</c:v>
                </c:pt>
                <c:pt idx="207">
                  <c:v>50</c:v>
                </c:pt>
                <c:pt idx="208">
                  <c:v>50</c:v>
                </c:pt>
                <c:pt idx="209">
                  <c:v>50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  <c:pt idx="216">
                  <c:v>50</c:v>
                </c:pt>
                <c:pt idx="217">
                  <c:v>50</c:v>
                </c:pt>
                <c:pt idx="218">
                  <c:v>50</c:v>
                </c:pt>
                <c:pt idx="219">
                  <c:v>50</c:v>
                </c:pt>
                <c:pt idx="220">
                  <c:v>50</c:v>
                </c:pt>
                <c:pt idx="221">
                  <c:v>50</c:v>
                </c:pt>
                <c:pt idx="222">
                  <c:v>50</c:v>
                </c:pt>
                <c:pt idx="223">
                  <c:v>50</c:v>
                </c:pt>
                <c:pt idx="224">
                  <c:v>50</c:v>
                </c:pt>
                <c:pt idx="225">
                  <c:v>50</c:v>
                </c:pt>
                <c:pt idx="226">
                  <c:v>50</c:v>
                </c:pt>
                <c:pt idx="227">
                  <c:v>50</c:v>
                </c:pt>
                <c:pt idx="228">
                  <c:v>50</c:v>
                </c:pt>
                <c:pt idx="229">
                  <c:v>50</c:v>
                </c:pt>
                <c:pt idx="230">
                  <c:v>50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50</c:v>
                </c:pt>
                <c:pt idx="235">
                  <c:v>50</c:v>
                </c:pt>
                <c:pt idx="236">
                  <c:v>50</c:v>
                </c:pt>
                <c:pt idx="237">
                  <c:v>50</c:v>
                </c:pt>
                <c:pt idx="238">
                  <c:v>50</c:v>
                </c:pt>
                <c:pt idx="239">
                  <c:v>50</c:v>
                </c:pt>
                <c:pt idx="240">
                  <c:v>50</c:v>
                </c:pt>
                <c:pt idx="241">
                  <c:v>50</c:v>
                </c:pt>
                <c:pt idx="242">
                  <c:v>50</c:v>
                </c:pt>
                <c:pt idx="243">
                  <c:v>50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50</c:v>
                </c:pt>
                <c:pt idx="248">
                  <c:v>50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50</c:v>
                </c:pt>
                <c:pt idx="253">
                  <c:v>50</c:v>
                </c:pt>
                <c:pt idx="254">
                  <c:v>50</c:v>
                </c:pt>
                <c:pt idx="255">
                  <c:v>50</c:v>
                </c:pt>
                <c:pt idx="256">
                  <c:v>50</c:v>
                </c:pt>
                <c:pt idx="257">
                  <c:v>50</c:v>
                </c:pt>
                <c:pt idx="258">
                  <c:v>50</c:v>
                </c:pt>
                <c:pt idx="259">
                  <c:v>50</c:v>
                </c:pt>
                <c:pt idx="260">
                  <c:v>50</c:v>
                </c:pt>
                <c:pt idx="261">
                  <c:v>50</c:v>
                </c:pt>
                <c:pt idx="262">
                  <c:v>50</c:v>
                </c:pt>
                <c:pt idx="263">
                  <c:v>50</c:v>
                </c:pt>
                <c:pt idx="264">
                  <c:v>50</c:v>
                </c:pt>
                <c:pt idx="265">
                  <c:v>50</c:v>
                </c:pt>
                <c:pt idx="266">
                  <c:v>50</c:v>
                </c:pt>
                <c:pt idx="267">
                  <c:v>50</c:v>
                </c:pt>
                <c:pt idx="268">
                  <c:v>50</c:v>
                </c:pt>
                <c:pt idx="269">
                  <c:v>50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  <c:pt idx="300">
                  <c:v>50</c:v>
                </c:pt>
                <c:pt idx="301">
                  <c:v>50</c:v>
                </c:pt>
                <c:pt idx="302">
                  <c:v>50</c:v>
                </c:pt>
                <c:pt idx="303">
                  <c:v>50</c:v>
                </c:pt>
                <c:pt idx="304">
                  <c:v>50</c:v>
                </c:pt>
                <c:pt idx="305">
                  <c:v>50</c:v>
                </c:pt>
                <c:pt idx="306">
                  <c:v>50</c:v>
                </c:pt>
                <c:pt idx="307">
                  <c:v>50</c:v>
                </c:pt>
                <c:pt idx="308">
                  <c:v>50</c:v>
                </c:pt>
                <c:pt idx="309">
                  <c:v>50</c:v>
                </c:pt>
                <c:pt idx="310">
                  <c:v>50</c:v>
                </c:pt>
                <c:pt idx="311">
                  <c:v>50</c:v>
                </c:pt>
                <c:pt idx="312">
                  <c:v>50</c:v>
                </c:pt>
                <c:pt idx="313">
                  <c:v>50</c:v>
                </c:pt>
                <c:pt idx="314">
                  <c:v>50</c:v>
                </c:pt>
                <c:pt idx="315">
                  <c:v>50</c:v>
                </c:pt>
                <c:pt idx="316">
                  <c:v>50</c:v>
                </c:pt>
                <c:pt idx="317">
                  <c:v>50</c:v>
                </c:pt>
                <c:pt idx="318">
                  <c:v>50</c:v>
                </c:pt>
                <c:pt idx="319">
                  <c:v>50</c:v>
                </c:pt>
                <c:pt idx="320">
                  <c:v>50</c:v>
                </c:pt>
                <c:pt idx="321">
                  <c:v>50</c:v>
                </c:pt>
                <c:pt idx="322">
                  <c:v>50</c:v>
                </c:pt>
                <c:pt idx="323">
                  <c:v>50</c:v>
                </c:pt>
                <c:pt idx="324">
                  <c:v>50</c:v>
                </c:pt>
                <c:pt idx="325">
                  <c:v>50</c:v>
                </c:pt>
                <c:pt idx="326">
                  <c:v>50</c:v>
                </c:pt>
                <c:pt idx="327">
                  <c:v>50</c:v>
                </c:pt>
                <c:pt idx="328">
                  <c:v>50</c:v>
                </c:pt>
                <c:pt idx="329">
                  <c:v>50</c:v>
                </c:pt>
                <c:pt idx="330">
                  <c:v>65</c:v>
                </c:pt>
                <c:pt idx="331">
                  <c:v>65</c:v>
                </c:pt>
                <c:pt idx="332">
                  <c:v>65</c:v>
                </c:pt>
                <c:pt idx="333">
                  <c:v>65</c:v>
                </c:pt>
                <c:pt idx="334">
                  <c:v>65</c:v>
                </c:pt>
                <c:pt idx="335">
                  <c:v>65</c:v>
                </c:pt>
                <c:pt idx="336">
                  <c:v>65</c:v>
                </c:pt>
                <c:pt idx="337">
                  <c:v>65</c:v>
                </c:pt>
                <c:pt idx="338">
                  <c:v>65</c:v>
                </c:pt>
                <c:pt idx="339">
                  <c:v>65</c:v>
                </c:pt>
                <c:pt idx="340">
                  <c:v>65</c:v>
                </c:pt>
                <c:pt idx="341">
                  <c:v>65</c:v>
                </c:pt>
                <c:pt idx="342">
                  <c:v>65</c:v>
                </c:pt>
                <c:pt idx="343">
                  <c:v>65</c:v>
                </c:pt>
                <c:pt idx="344">
                  <c:v>65</c:v>
                </c:pt>
                <c:pt idx="345">
                  <c:v>65</c:v>
                </c:pt>
                <c:pt idx="346">
                  <c:v>65</c:v>
                </c:pt>
                <c:pt idx="347">
                  <c:v>65</c:v>
                </c:pt>
                <c:pt idx="348">
                  <c:v>65</c:v>
                </c:pt>
                <c:pt idx="349">
                  <c:v>65</c:v>
                </c:pt>
                <c:pt idx="350">
                  <c:v>65</c:v>
                </c:pt>
                <c:pt idx="351">
                  <c:v>65</c:v>
                </c:pt>
                <c:pt idx="352">
                  <c:v>65</c:v>
                </c:pt>
                <c:pt idx="353">
                  <c:v>65</c:v>
                </c:pt>
                <c:pt idx="354">
                  <c:v>65</c:v>
                </c:pt>
                <c:pt idx="355">
                  <c:v>65</c:v>
                </c:pt>
                <c:pt idx="356">
                  <c:v>65</c:v>
                </c:pt>
                <c:pt idx="357">
                  <c:v>65</c:v>
                </c:pt>
                <c:pt idx="358">
                  <c:v>65</c:v>
                </c:pt>
                <c:pt idx="359">
                  <c:v>65</c:v>
                </c:pt>
                <c:pt idx="360">
                  <c:v>65</c:v>
                </c:pt>
                <c:pt idx="361">
                  <c:v>65</c:v>
                </c:pt>
                <c:pt idx="362">
                  <c:v>65</c:v>
                </c:pt>
                <c:pt idx="363">
                  <c:v>65</c:v>
                </c:pt>
                <c:pt idx="364">
                  <c:v>65</c:v>
                </c:pt>
                <c:pt idx="365">
                  <c:v>65</c:v>
                </c:pt>
                <c:pt idx="366">
                  <c:v>65</c:v>
                </c:pt>
                <c:pt idx="367">
                  <c:v>65</c:v>
                </c:pt>
                <c:pt idx="368">
                  <c:v>65</c:v>
                </c:pt>
                <c:pt idx="369">
                  <c:v>65</c:v>
                </c:pt>
                <c:pt idx="370">
                  <c:v>65</c:v>
                </c:pt>
                <c:pt idx="371">
                  <c:v>65</c:v>
                </c:pt>
                <c:pt idx="372">
                  <c:v>65</c:v>
                </c:pt>
                <c:pt idx="373">
                  <c:v>65</c:v>
                </c:pt>
                <c:pt idx="374">
                  <c:v>65</c:v>
                </c:pt>
                <c:pt idx="375">
                  <c:v>65</c:v>
                </c:pt>
                <c:pt idx="376">
                  <c:v>65</c:v>
                </c:pt>
                <c:pt idx="377">
                  <c:v>65</c:v>
                </c:pt>
                <c:pt idx="378">
                  <c:v>65</c:v>
                </c:pt>
                <c:pt idx="379">
                  <c:v>65</c:v>
                </c:pt>
                <c:pt idx="380">
                  <c:v>65</c:v>
                </c:pt>
                <c:pt idx="381">
                  <c:v>65</c:v>
                </c:pt>
                <c:pt idx="382">
                  <c:v>65</c:v>
                </c:pt>
                <c:pt idx="383">
                  <c:v>65</c:v>
                </c:pt>
                <c:pt idx="384">
                  <c:v>65</c:v>
                </c:pt>
                <c:pt idx="385">
                  <c:v>65</c:v>
                </c:pt>
                <c:pt idx="386">
                  <c:v>65</c:v>
                </c:pt>
                <c:pt idx="387">
                  <c:v>65</c:v>
                </c:pt>
                <c:pt idx="388">
                  <c:v>65</c:v>
                </c:pt>
                <c:pt idx="389">
                  <c:v>65</c:v>
                </c:pt>
                <c:pt idx="390">
                  <c:v>65</c:v>
                </c:pt>
                <c:pt idx="391">
                  <c:v>65</c:v>
                </c:pt>
                <c:pt idx="392">
                  <c:v>65</c:v>
                </c:pt>
                <c:pt idx="393">
                  <c:v>65</c:v>
                </c:pt>
                <c:pt idx="394">
                  <c:v>65</c:v>
                </c:pt>
                <c:pt idx="395">
                  <c:v>65</c:v>
                </c:pt>
                <c:pt idx="396">
                  <c:v>65</c:v>
                </c:pt>
                <c:pt idx="397">
                  <c:v>65</c:v>
                </c:pt>
                <c:pt idx="398">
                  <c:v>65</c:v>
                </c:pt>
                <c:pt idx="399">
                  <c:v>65</c:v>
                </c:pt>
                <c:pt idx="400">
                  <c:v>65</c:v>
                </c:pt>
                <c:pt idx="401">
                  <c:v>65</c:v>
                </c:pt>
                <c:pt idx="402">
                  <c:v>65</c:v>
                </c:pt>
                <c:pt idx="403">
                  <c:v>65</c:v>
                </c:pt>
                <c:pt idx="404">
                  <c:v>65</c:v>
                </c:pt>
                <c:pt idx="405">
                  <c:v>65</c:v>
                </c:pt>
                <c:pt idx="406">
                  <c:v>65</c:v>
                </c:pt>
                <c:pt idx="407">
                  <c:v>65</c:v>
                </c:pt>
                <c:pt idx="408">
                  <c:v>65</c:v>
                </c:pt>
                <c:pt idx="409">
                  <c:v>65</c:v>
                </c:pt>
                <c:pt idx="410">
                  <c:v>65</c:v>
                </c:pt>
                <c:pt idx="411">
                  <c:v>65</c:v>
                </c:pt>
                <c:pt idx="412">
                  <c:v>65</c:v>
                </c:pt>
                <c:pt idx="413">
                  <c:v>65</c:v>
                </c:pt>
                <c:pt idx="414">
                  <c:v>65</c:v>
                </c:pt>
                <c:pt idx="415">
                  <c:v>65</c:v>
                </c:pt>
                <c:pt idx="416">
                  <c:v>65</c:v>
                </c:pt>
                <c:pt idx="417">
                  <c:v>65</c:v>
                </c:pt>
                <c:pt idx="418">
                  <c:v>65</c:v>
                </c:pt>
                <c:pt idx="419">
                  <c:v>65</c:v>
                </c:pt>
                <c:pt idx="420">
                  <c:v>65</c:v>
                </c:pt>
                <c:pt idx="421">
                  <c:v>65</c:v>
                </c:pt>
                <c:pt idx="422">
                  <c:v>65</c:v>
                </c:pt>
                <c:pt idx="423">
                  <c:v>65</c:v>
                </c:pt>
                <c:pt idx="424">
                  <c:v>65</c:v>
                </c:pt>
                <c:pt idx="425">
                  <c:v>65</c:v>
                </c:pt>
                <c:pt idx="426">
                  <c:v>65</c:v>
                </c:pt>
                <c:pt idx="427">
                  <c:v>65</c:v>
                </c:pt>
                <c:pt idx="428">
                  <c:v>65</c:v>
                </c:pt>
                <c:pt idx="429">
                  <c:v>65</c:v>
                </c:pt>
                <c:pt idx="430">
                  <c:v>65</c:v>
                </c:pt>
                <c:pt idx="431">
                  <c:v>65</c:v>
                </c:pt>
                <c:pt idx="432">
                  <c:v>65</c:v>
                </c:pt>
                <c:pt idx="433">
                  <c:v>65</c:v>
                </c:pt>
                <c:pt idx="434">
                  <c:v>65</c:v>
                </c:pt>
                <c:pt idx="435">
                  <c:v>65</c:v>
                </c:pt>
                <c:pt idx="436">
                  <c:v>65</c:v>
                </c:pt>
                <c:pt idx="437">
                  <c:v>65</c:v>
                </c:pt>
                <c:pt idx="438">
                  <c:v>65</c:v>
                </c:pt>
                <c:pt idx="439">
                  <c:v>65</c:v>
                </c:pt>
                <c:pt idx="440">
                  <c:v>65</c:v>
                </c:pt>
                <c:pt idx="441">
                  <c:v>65</c:v>
                </c:pt>
                <c:pt idx="442">
                  <c:v>65</c:v>
                </c:pt>
                <c:pt idx="443">
                  <c:v>65</c:v>
                </c:pt>
                <c:pt idx="444">
                  <c:v>65</c:v>
                </c:pt>
                <c:pt idx="445">
                  <c:v>65</c:v>
                </c:pt>
                <c:pt idx="446">
                  <c:v>65</c:v>
                </c:pt>
                <c:pt idx="447">
                  <c:v>65</c:v>
                </c:pt>
                <c:pt idx="448">
                  <c:v>65</c:v>
                </c:pt>
                <c:pt idx="449">
                  <c:v>65</c:v>
                </c:pt>
                <c:pt idx="450">
                  <c:v>65</c:v>
                </c:pt>
                <c:pt idx="451">
                  <c:v>65</c:v>
                </c:pt>
                <c:pt idx="452">
                  <c:v>65</c:v>
                </c:pt>
                <c:pt idx="453">
                  <c:v>65</c:v>
                </c:pt>
                <c:pt idx="454">
                  <c:v>65</c:v>
                </c:pt>
                <c:pt idx="455">
                  <c:v>65</c:v>
                </c:pt>
                <c:pt idx="456">
                  <c:v>65</c:v>
                </c:pt>
                <c:pt idx="457">
                  <c:v>65</c:v>
                </c:pt>
                <c:pt idx="458">
                  <c:v>65</c:v>
                </c:pt>
                <c:pt idx="459">
                  <c:v>65</c:v>
                </c:pt>
                <c:pt idx="460">
                  <c:v>65</c:v>
                </c:pt>
                <c:pt idx="461">
                  <c:v>65</c:v>
                </c:pt>
                <c:pt idx="462">
                  <c:v>65</c:v>
                </c:pt>
                <c:pt idx="463">
                  <c:v>65</c:v>
                </c:pt>
                <c:pt idx="464">
                  <c:v>65</c:v>
                </c:pt>
                <c:pt idx="465">
                  <c:v>65</c:v>
                </c:pt>
                <c:pt idx="466">
                  <c:v>65</c:v>
                </c:pt>
                <c:pt idx="467">
                  <c:v>65</c:v>
                </c:pt>
                <c:pt idx="468">
                  <c:v>65</c:v>
                </c:pt>
                <c:pt idx="469">
                  <c:v>65</c:v>
                </c:pt>
                <c:pt idx="470">
                  <c:v>65</c:v>
                </c:pt>
                <c:pt idx="471">
                  <c:v>65</c:v>
                </c:pt>
                <c:pt idx="472">
                  <c:v>65</c:v>
                </c:pt>
                <c:pt idx="473">
                  <c:v>65</c:v>
                </c:pt>
                <c:pt idx="474">
                  <c:v>65</c:v>
                </c:pt>
                <c:pt idx="475">
                  <c:v>65</c:v>
                </c:pt>
                <c:pt idx="476">
                  <c:v>65</c:v>
                </c:pt>
                <c:pt idx="477">
                  <c:v>65</c:v>
                </c:pt>
                <c:pt idx="478">
                  <c:v>65</c:v>
                </c:pt>
                <c:pt idx="479">
                  <c:v>65</c:v>
                </c:pt>
                <c:pt idx="480">
                  <c:v>65</c:v>
                </c:pt>
                <c:pt idx="481">
                  <c:v>65</c:v>
                </c:pt>
                <c:pt idx="482">
                  <c:v>65</c:v>
                </c:pt>
                <c:pt idx="483">
                  <c:v>65</c:v>
                </c:pt>
                <c:pt idx="484">
                  <c:v>65</c:v>
                </c:pt>
                <c:pt idx="485">
                  <c:v>65</c:v>
                </c:pt>
                <c:pt idx="486">
                  <c:v>65</c:v>
                </c:pt>
                <c:pt idx="487">
                  <c:v>65</c:v>
                </c:pt>
                <c:pt idx="488">
                  <c:v>65</c:v>
                </c:pt>
                <c:pt idx="489">
                  <c:v>65</c:v>
                </c:pt>
                <c:pt idx="490">
                  <c:v>65</c:v>
                </c:pt>
                <c:pt idx="491">
                  <c:v>65</c:v>
                </c:pt>
                <c:pt idx="492">
                  <c:v>65</c:v>
                </c:pt>
                <c:pt idx="493">
                  <c:v>65</c:v>
                </c:pt>
                <c:pt idx="494">
                  <c:v>65</c:v>
                </c:pt>
                <c:pt idx="495">
                  <c:v>65</c:v>
                </c:pt>
                <c:pt idx="496">
                  <c:v>65</c:v>
                </c:pt>
                <c:pt idx="497">
                  <c:v>65</c:v>
                </c:pt>
                <c:pt idx="498">
                  <c:v>65</c:v>
                </c:pt>
                <c:pt idx="499">
                  <c:v>65</c:v>
                </c:pt>
                <c:pt idx="500">
                  <c:v>65</c:v>
                </c:pt>
                <c:pt idx="501">
                  <c:v>65</c:v>
                </c:pt>
                <c:pt idx="502">
                  <c:v>65</c:v>
                </c:pt>
                <c:pt idx="503">
                  <c:v>65</c:v>
                </c:pt>
                <c:pt idx="504">
                  <c:v>65</c:v>
                </c:pt>
                <c:pt idx="505">
                  <c:v>65</c:v>
                </c:pt>
                <c:pt idx="506">
                  <c:v>65</c:v>
                </c:pt>
                <c:pt idx="507">
                  <c:v>65</c:v>
                </c:pt>
                <c:pt idx="508">
                  <c:v>65</c:v>
                </c:pt>
                <c:pt idx="509">
                  <c:v>65</c:v>
                </c:pt>
                <c:pt idx="510">
                  <c:v>65</c:v>
                </c:pt>
                <c:pt idx="511">
                  <c:v>65</c:v>
                </c:pt>
                <c:pt idx="512">
                  <c:v>65</c:v>
                </c:pt>
                <c:pt idx="513">
                  <c:v>65</c:v>
                </c:pt>
                <c:pt idx="514">
                  <c:v>65</c:v>
                </c:pt>
                <c:pt idx="515">
                  <c:v>65</c:v>
                </c:pt>
                <c:pt idx="516">
                  <c:v>65</c:v>
                </c:pt>
                <c:pt idx="517">
                  <c:v>65</c:v>
                </c:pt>
                <c:pt idx="518">
                  <c:v>65</c:v>
                </c:pt>
                <c:pt idx="519">
                  <c:v>65</c:v>
                </c:pt>
                <c:pt idx="520">
                  <c:v>65</c:v>
                </c:pt>
                <c:pt idx="521">
                  <c:v>65</c:v>
                </c:pt>
                <c:pt idx="522">
                  <c:v>65</c:v>
                </c:pt>
                <c:pt idx="523">
                  <c:v>65</c:v>
                </c:pt>
                <c:pt idx="524">
                  <c:v>65</c:v>
                </c:pt>
                <c:pt idx="525">
                  <c:v>65</c:v>
                </c:pt>
                <c:pt idx="526">
                  <c:v>65</c:v>
                </c:pt>
                <c:pt idx="527">
                  <c:v>65</c:v>
                </c:pt>
                <c:pt idx="528">
                  <c:v>65</c:v>
                </c:pt>
                <c:pt idx="529">
                  <c:v>65</c:v>
                </c:pt>
                <c:pt idx="530">
                  <c:v>65</c:v>
                </c:pt>
                <c:pt idx="531">
                  <c:v>65</c:v>
                </c:pt>
                <c:pt idx="532">
                  <c:v>65</c:v>
                </c:pt>
                <c:pt idx="533">
                  <c:v>65</c:v>
                </c:pt>
                <c:pt idx="534">
                  <c:v>65</c:v>
                </c:pt>
                <c:pt idx="535">
                  <c:v>65</c:v>
                </c:pt>
                <c:pt idx="536">
                  <c:v>65</c:v>
                </c:pt>
                <c:pt idx="537">
                  <c:v>65</c:v>
                </c:pt>
                <c:pt idx="538">
                  <c:v>65</c:v>
                </c:pt>
                <c:pt idx="539">
                  <c:v>65</c:v>
                </c:pt>
                <c:pt idx="540">
                  <c:v>65</c:v>
                </c:pt>
                <c:pt idx="541">
                  <c:v>65</c:v>
                </c:pt>
                <c:pt idx="542">
                  <c:v>65</c:v>
                </c:pt>
                <c:pt idx="543">
                  <c:v>65</c:v>
                </c:pt>
                <c:pt idx="544">
                  <c:v>65</c:v>
                </c:pt>
                <c:pt idx="545">
                  <c:v>65</c:v>
                </c:pt>
                <c:pt idx="546">
                  <c:v>65</c:v>
                </c:pt>
                <c:pt idx="547">
                  <c:v>65</c:v>
                </c:pt>
                <c:pt idx="548">
                  <c:v>65</c:v>
                </c:pt>
                <c:pt idx="549">
                  <c:v>65</c:v>
                </c:pt>
                <c:pt idx="550">
                  <c:v>65</c:v>
                </c:pt>
                <c:pt idx="551">
                  <c:v>65</c:v>
                </c:pt>
                <c:pt idx="552">
                  <c:v>65</c:v>
                </c:pt>
                <c:pt idx="553">
                  <c:v>65</c:v>
                </c:pt>
                <c:pt idx="554">
                  <c:v>65</c:v>
                </c:pt>
                <c:pt idx="555">
                  <c:v>65</c:v>
                </c:pt>
                <c:pt idx="556">
                  <c:v>65</c:v>
                </c:pt>
                <c:pt idx="557">
                  <c:v>65</c:v>
                </c:pt>
                <c:pt idx="558">
                  <c:v>65</c:v>
                </c:pt>
                <c:pt idx="559">
                  <c:v>65</c:v>
                </c:pt>
                <c:pt idx="560">
                  <c:v>65</c:v>
                </c:pt>
                <c:pt idx="561">
                  <c:v>65</c:v>
                </c:pt>
                <c:pt idx="562">
                  <c:v>65</c:v>
                </c:pt>
                <c:pt idx="563">
                  <c:v>65</c:v>
                </c:pt>
                <c:pt idx="564">
                  <c:v>65</c:v>
                </c:pt>
                <c:pt idx="565">
                  <c:v>65</c:v>
                </c:pt>
                <c:pt idx="566">
                  <c:v>65</c:v>
                </c:pt>
                <c:pt idx="567">
                  <c:v>65</c:v>
                </c:pt>
                <c:pt idx="568">
                  <c:v>65</c:v>
                </c:pt>
                <c:pt idx="569">
                  <c:v>65</c:v>
                </c:pt>
                <c:pt idx="570">
                  <c:v>65</c:v>
                </c:pt>
                <c:pt idx="571">
                  <c:v>65</c:v>
                </c:pt>
                <c:pt idx="572">
                  <c:v>65</c:v>
                </c:pt>
                <c:pt idx="573">
                  <c:v>65</c:v>
                </c:pt>
                <c:pt idx="574">
                  <c:v>65</c:v>
                </c:pt>
                <c:pt idx="575">
                  <c:v>65</c:v>
                </c:pt>
                <c:pt idx="576">
                  <c:v>65</c:v>
                </c:pt>
                <c:pt idx="577">
                  <c:v>65</c:v>
                </c:pt>
                <c:pt idx="578">
                  <c:v>65</c:v>
                </c:pt>
                <c:pt idx="579">
                  <c:v>65</c:v>
                </c:pt>
                <c:pt idx="580">
                  <c:v>65</c:v>
                </c:pt>
                <c:pt idx="581">
                  <c:v>65</c:v>
                </c:pt>
                <c:pt idx="582">
                  <c:v>65</c:v>
                </c:pt>
                <c:pt idx="583">
                  <c:v>65</c:v>
                </c:pt>
                <c:pt idx="584">
                  <c:v>65</c:v>
                </c:pt>
                <c:pt idx="585">
                  <c:v>65</c:v>
                </c:pt>
                <c:pt idx="586">
                  <c:v>65</c:v>
                </c:pt>
                <c:pt idx="587">
                  <c:v>65</c:v>
                </c:pt>
                <c:pt idx="588">
                  <c:v>65</c:v>
                </c:pt>
                <c:pt idx="589">
                  <c:v>65</c:v>
                </c:pt>
                <c:pt idx="590">
                  <c:v>65</c:v>
                </c:pt>
                <c:pt idx="591">
                  <c:v>65</c:v>
                </c:pt>
                <c:pt idx="592">
                  <c:v>65</c:v>
                </c:pt>
                <c:pt idx="593">
                  <c:v>65</c:v>
                </c:pt>
                <c:pt idx="594">
                  <c:v>65</c:v>
                </c:pt>
                <c:pt idx="595">
                  <c:v>65</c:v>
                </c:pt>
                <c:pt idx="596">
                  <c:v>65</c:v>
                </c:pt>
                <c:pt idx="597">
                  <c:v>65</c:v>
                </c:pt>
                <c:pt idx="598">
                  <c:v>65</c:v>
                </c:pt>
                <c:pt idx="599">
                  <c:v>65</c:v>
                </c:pt>
                <c:pt idx="600">
                  <c:v>65</c:v>
                </c:pt>
                <c:pt idx="601">
                  <c:v>65</c:v>
                </c:pt>
                <c:pt idx="602">
                  <c:v>65</c:v>
                </c:pt>
                <c:pt idx="603">
                  <c:v>65</c:v>
                </c:pt>
                <c:pt idx="604">
                  <c:v>65</c:v>
                </c:pt>
                <c:pt idx="605">
                  <c:v>65</c:v>
                </c:pt>
                <c:pt idx="606">
                  <c:v>65</c:v>
                </c:pt>
                <c:pt idx="607">
                  <c:v>65</c:v>
                </c:pt>
                <c:pt idx="608">
                  <c:v>65</c:v>
                </c:pt>
                <c:pt idx="609">
                  <c:v>65</c:v>
                </c:pt>
                <c:pt idx="610">
                  <c:v>65</c:v>
                </c:pt>
                <c:pt idx="611">
                  <c:v>65</c:v>
                </c:pt>
                <c:pt idx="612">
                  <c:v>65</c:v>
                </c:pt>
                <c:pt idx="613">
                  <c:v>65</c:v>
                </c:pt>
                <c:pt idx="614">
                  <c:v>65</c:v>
                </c:pt>
                <c:pt idx="615">
                  <c:v>65</c:v>
                </c:pt>
                <c:pt idx="616">
                  <c:v>65</c:v>
                </c:pt>
                <c:pt idx="617">
                  <c:v>65</c:v>
                </c:pt>
                <c:pt idx="618">
                  <c:v>65</c:v>
                </c:pt>
                <c:pt idx="619">
                  <c:v>65</c:v>
                </c:pt>
                <c:pt idx="620">
                  <c:v>65</c:v>
                </c:pt>
                <c:pt idx="621">
                  <c:v>65</c:v>
                </c:pt>
                <c:pt idx="622">
                  <c:v>65</c:v>
                </c:pt>
                <c:pt idx="623">
                  <c:v>65</c:v>
                </c:pt>
                <c:pt idx="624">
                  <c:v>65</c:v>
                </c:pt>
                <c:pt idx="625">
                  <c:v>65</c:v>
                </c:pt>
                <c:pt idx="626">
                  <c:v>65</c:v>
                </c:pt>
                <c:pt idx="627">
                  <c:v>65</c:v>
                </c:pt>
                <c:pt idx="628">
                  <c:v>65</c:v>
                </c:pt>
                <c:pt idx="629">
                  <c:v>65</c:v>
                </c:pt>
                <c:pt idx="630">
                  <c:v>65</c:v>
                </c:pt>
                <c:pt idx="631">
                  <c:v>65</c:v>
                </c:pt>
                <c:pt idx="632">
                  <c:v>65</c:v>
                </c:pt>
                <c:pt idx="633">
                  <c:v>65</c:v>
                </c:pt>
                <c:pt idx="634">
                  <c:v>65</c:v>
                </c:pt>
                <c:pt idx="635">
                  <c:v>65</c:v>
                </c:pt>
                <c:pt idx="636">
                  <c:v>65</c:v>
                </c:pt>
                <c:pt idx="637">
                  <c:v>65</c:v>
                </c:pt>
                <c:pt idx="638">
                  <c:v>65</c:v>
                </c:pt>
                <c:pt idx="639">
                  <c:v>65</c:v>
                </c:pt>
                <c:pt idx="640">
                  <c:v>65</c:v>
                </c:pt>
                <c:pt idx="641">
                  <c:v>65</c:v>
                </c:pt>
                <c:pt idx="642">
                  <c:v>65</c:v>
                </c:pt>
                <c:pt idx="643">
                  <c:v>65</c:v>
                </c:pt>
                <c:pt idx="644">
                  <c:v>65</c:v>
                </c:pt>
                <c:pt idx="645">
                  <c:v>65</c:v>
                </c:pt>
                <c:pt idx="646">
                  <c:v>65</c:v>
                </c:pt>
                <c:pt idx="647">
                  <c:v>65</c:v>
                </c:pt>
                <c:pt idx="648">
                  <c:v>65</c:v>
                </c:pt>
                <c:pt idx="649">
                  <c:v>65</c:v>
                </c:pt>
                <c:pt idx="650">
                  <c:v>65</c:v>
                </c:pt>
                <c:pt idx="651">
                  <c:v>65</c:v>
                </c:pt>
                <c:pt idx="652">
                  <c:v>65</c:v>
                </c:pt>
                <c:pt idx="653">
                  <c:v>65</c:v>
                </c:pt>
                <c:pt idx="654">
                  <c:v>65</c:v>
                </c:pt>
                <c:pt idx="655">
                  <c:v>65</c:v>
                </c:pt>
                <c:pt idx="656">
                  <c:v>65</c:v>
                </c:pt>
                <c:pt idx="657">
                  <c:v>65</c:v>
                </c:pt>
                <c:pt idx="658">
                  <c:v>65</c:v>
                </c:pt>
                <c:pt idx="659">
                  <c:v>65</c:v>
                </c:pt>
                <c:pt idx="660">
                  <c:v>65</c:v>
                </c:pt>
                <c:pt idx="661">
                  <c:v>80</c:v>
                </c:pt>
                <c:pt idx="662">
                  <c:v>80</c:v>
                </c:pt>
                <c:pt idx="663">
                  <c:v>80</c:v>
                </c:pt>
                <c:pt idx="664">
                  <c:v>80</c:v>
                </c:pt>
                <c:pt idx="665">
                  <c:v>80</c:v>
                </c:pt>
                <c:pt idx="666">
                  <c:v>80</c:v>
                </c:pt>
                <c:pt idx="667">
                  <c:v>80</c:v>
                </c:pt>
                <c:pt idx="668">
                  <c:v>80</c:v>
                </c:pt>
                <c:pt idx="669">
                  <c:v>80</c:v>
                </c:pt>
                <c:pt idx="670">
                  <c:v>80</c:v>
                </c:pt>
                <c:pt idx="671">
                  <c:v>80</c:v>
                </c:pt>
                <c:pt idx="672">
                  <c:v>80</c:v>
                </c:pt>
                <c:pt idx="673">
                  <c:v>80</c:v>
                </c:pt>
                <c:pt idx="674">
                  <c:v>80</c:v>
                </c:pt>
                <c:pt idx="675">
                  <c:v>80</c:v>
                </c:pt>
                <c:pt idx="676">
                  <c:v>80</c:v>
                </c:pt>
                <c:pt idx="677">
                  <c:v>80</c:v>
                </c:pt>
                <c:pt idx="678">
                  <c:v>80</c:v>
                </c:pt>
                <c:pt idx="679">
                  <c:v>80</c:v>
                </c:pt>
                <c:pt idx="680">
                  <c:v>80</c:v>
                </c:pt>
                <c:pt idx="681">
                  <c:v>80</c:v>
                </c:pt>
                <c:pt idx="682">
                  <c:v>80</c:v>
                </c:pt>
                <c:pt idx="683">
                  <c:v>80</c:v>
                </c:pt>
                <c:pt idx="684">
                  <c:v>80</c:v>
                </c:pt>
                <c:pt idx="685">
                  <c:v>80</c:v>
                </c:pt>
                <c:pt idx="686">
                  <c:v>80</c:v>
                </c:pt>
                <c:pt idx="687">
                  <c:v>80</c:v>
                </c:pt>
                <c:pt idx="688">
                  <c:v>80</c:v>
                </c:pt>
                <c:pt idx="689">
                  <c:v>80</c:v>
                </c:pt>
                <c:pt idx="690">
                  <c:v>80</c:v>
                </c:pt>
                <c:pt idx="691">
                  <c:v>80</c:v>
                </c:pt>
                <c:pt idx="692">
                  <c:v>80</c:v>
                </c:pt>
                <c:pt idx="693">
                  <c:v>80</c:v>
                </c:pt>
                <c:pt idx="694">
                  <c:v>80</c:v>
                </c:pt>
                <c:pt idx="695">
                  <c:v>80</c:v>
                </c:pt>
                <c:pt idx="696">
                  <c:v>80</c:v>
                </c:pt>
                <c:pt idx="697">
                  <c:v>80</c:v>
                </c:pt>
                <c:pt idx="698">
                  <c:v>80</c:v>
                </c:pt>
                <c:pt idx="699">
                  <c:v>80</c:v>
                </c:pt>
                <c:pt idx="700">
                  <c:v>80</c:v>
                </c:pt>
                <c:pt idx="701">
                  <c:v>80</c:v>
                </c:pt>
                <c:pt idx="702">
                  <c:v>80</c:v>
                </c:pt>
                <c:pt idx="703">
                  <c:v>80</c:v>
                </c:pt>
                <c:pt idx="704">
                  <c:v>80</c:v>
                </c:pt>
                <c:pt idx="705">
                  <c:v>80</c:v>
                </c:pt>
                <c:pt idx="706">
                  <c:v>80</c:v>
                </c:pt>
                <c:pt idx="707">
                  <c:v>80</c:v>
                </c:pt>
                <c:pt idx="708">
                  <c:v>80</c:v>
                </c:pt>
                <c:pt idx="709">
                  <c:v>80</c:v>
                </c:pt>
                <c:pt idx="710">
                  <c:v>80</c:v>
                </c:pt>
                <c:pt idx="711">
                  <c:v>80</c:v>
                </c:pt>
                <c:pt idx="712">
                  <c:v>80</c:v>
                </c:pt>
                <c:pt idx="713">
                  <c:v>80</c:v>
                </c:pt>
                <c:pt idx="714">
                  <c:v>80</c:v>
                </c:pt>
                <c:pt idx="715">
                  <c:v>80</c:v>
                </c:pt>
                <c:pt idx="716">
                  <c:v>80</c:v>
                </c:pt>
                <c:pt idx="717">
                  <c:v>80</c:v>
                </c:pt>
                <c:pt idx="718">
                  <c:v>80</c:v>
                </c:pt>
                <c:pt idx="719">
                  <c:v>80</c:v>
                </c:pt>
                <c:pt idx="720">
                  <c:v>80</c:v>
                </c:pt>
                <c:pt idx="721">
                  <c:v>80</c:v>
                </c:pt>
                <c:pt idx="722">
                  <c:v>80</c:v>
                </c:pt>
                <c:pt idx="723">
                  <c:v>80</c:v>
                </c:pt>
                <c:pt idx="724">
                  <c:v>80</c:v>
                </c:pt>
                <c:pt idx="725">
                  <c:v>80</c:v>
                </c:pt>
                <c:pt idx="726">
                  <c:v>80</c:v>
                </c:pt>
                <c:pt idx="727">
                  <c:v>80</c:v>
                </c:pt>
                <c:pt idx="728">
                  <c:v>80</c:v>
                </c:pt>
                <c:pt idx="729">
                  <c:v>80</c:v>
                </c:pt>
                <c:pt idx="730">
                  <c:v>80</c:v>
                </c:pt>
                <c:pt idx="731">
                  <c:v>80</c:v>
                </c:pt>
                <c:pt idx="732">
                  <c:v>80</c:v>
                </c:pt>
                <c:pt idx="733">
                  <c:v>80</c:v>
                </c:pt>
                <c:pt idx="734">
                  <c:v>80</c:v>
                </c:pt>
                <c:pt idx="735">
                  <c:v>80</c:v>
                </c:pt>
                <c:pt idx="736">
                  <c:v>80</c:v>
                </c:pt>
                <c:pt idx="737">
                  <c:v>80</c:v>
                </c:pt>
                <c:pt idx="738">
                  <c:v>80</c:v>
                </c:pt>
                <c:pt idx="739">
                  <c:v>80</c:v>
                </c:pt>
                <c:pt idx="740">
                  <c:v>80</c:v>
                </c:pt>
                <c:pt idx="741">
                  <c:v>80</c:v>
                </c:pt>
                <c:pt idx="742">
                  <c:v>80</c:v>
                </c:pt>
                <c:pt idx="743">
                  <c:v>80</c:v>
                </c:pt>
                <c:pt idx="744">
                  <c:v>80</c:v>
                </c:pt>
                <c:pt idx="745">
                  <c:v>80</c:v>
                </c:pt>
                <c:pt idx="746">
                  <c:v>80</c:v>
                </c:pt>
                <c:pt idx="747">
                  <c:v>80</c:v>
                </c:pt>
                <c:pt idx="748">
                  <c:v>80</c:v>
                </c:pt>
                <c:pt idx="749">
                  <c:v>80</c:v>
                </c:pt>
                <c:pt idx="750">
                  <c:v>80</c:v>
                </c:pt>
                <c:pt idx="751">
                  <c:v>80</c:v>
                </c:pt>
                <c:pt idx="752">
                  <c:v>80</c:v>
                </c:pt>
                <c:pt idx="753">
                  <c:v>80</c:v>
                </c:pt>
                <c:pt idx="754">
                  <c:v>80</c:v>
                </c:pt>
                <c:pt idx="755">
                  <c:v>80</c:v>
                </c:pt>
                <c:pt idx="756">
                  <c:v>80</c:v>
                </c:pt>
                <c:pt idx="757">
                  <c:v>80</c:v>
                </c:pt>
                <c:pt idx="758">
                  <c:v>80</c:v>
                </c:pt>
                <c:pt idx="759">
                  <c:v>80</c:v>
                </c:pt>
                <c:pt idx="760">
                  <c:v>80</c:v>
                </c:pt>
                <c:pt idx="761">
                  <c:v>80</c:v>
                </c:pt>
                <c:pt idx="762">
                  <c:v>80</c:v>
                </c:pt>
                <c:pt idx="763">
                  <c:v>80</c:v>
                </c:pt>
                <c:pt idx="764">
                  <c:v>80</c:v>
                </c:pt>
                <c:pt idx="765">
                  <c:v>80</c:v>
                </c:pt>
                <c:pt idx="766">
                  <c:v>80</c:v>
                </c:pt>
                <c:pt idx="767">
                  <c:v>80</c:v>
                </c:pt>
                <c:pt idx="768">
                  <c:v>80</c:v>
                </c:pt>
                <c:pt idx="769">
                  <c:v>80</c:v>
                </c:pt>
                <c:pt idx="770">
                  <c:v>80</c:v>
                </c:pt>
                <c:pt idx="771">
                  <c:v>80</c:v>
                </c:pt>
                <c:pt idx="772">
                  <c:v>80</c:v>
                </c:pt>
                <c:pt idx="773">
                  <c:v>80</c:v>
                </c:pt>
                <c:pt idx="774">
                  <c:v>80</c:v>
                </c:pt>
                <c:pt idx="775">
                  <c:v>80</c:v>
                </c:pt>
                <c:pt idx="776">
                  <c:v>80</c:v>
                </c:pt>
                <c:pt idx="777">
                  <c:v>80</c:v>
                </c:pt>
                <c:pt idx="778">
                  <c:v>80</c:v>
                </c:pt>
                <c:pt idx="779">
                  <c:v>80</c:v>
                </c:pt>
                <c:pt idx="780">
                  <c:v>80</c:v>
                </c:pt>
                <c:pt idx="781">
                  <c:v>80</c:v>
                </c:pt>
                <c:pt idx="782">
                  <c:v>80</c:v>
                </c:pt>
                <c:pt idx="783">
                  <c:v>80</c:v>
                </c:pt>
                <c:pt idx="784">
                  <c:v>80</c:v>
                </c:pt>
                <c:pt idx="785">
                  <c:v>80</c:v>
                </c:pt>
                <c:pt idx="786">
                  <c:v>80</c:v>
                </c:pt>
                <c:pt idx="787">
                  <c:v>80</c:v>
                </c:pt>
                <c:pt idx="788">
                  <c:v>80</c:v>
                </c:pt>
                <c:pt idx="789">
                  <c:v>80</c:v>
                </c:pt>
                <c:pt idx="790">
                  <c:v>80</c:v>
                </c:pt>
                <c:pt idx="791">
                  <c:v>80</c:v>
                </c:pt>
                <c:pt idx="792">
                  <c:v>80</c:v>
                </c:pt>
                <c:pt idx="793">
                  <c:v>80</c:v>
                </c:pt>
                <c:pt idx="794">
                  <c:v>80</c:v>
                </c:pt>
                <c:pt idx="795">
                  <c:v>80</c:v>
                </c:pt>
                <c:pt idx="796">
                  <c:v>80</c:v>
                </c:pt>
                <c:pt idx="797">
                  <c:v>80</c:v>
                </c:pt>
                <c:pt idx="798">
                  <c:v>80</c:v>
                </c:pt>
                <c:pt idx="799">
                  <c:v>80</c:v>
                </c:pt>
                <c:pt idx="800">
                  <c:v>80</c:v>
                </c:pt>
                <c:pt idx="801">
                  <c:v>80</c:v>
                </c:pt>
                <c:pt idx="802">
                  <c:v>80</c:v>
                </c:pt>
                <c:pt idx="803">
                  <c:v>80</c:v>
                </c:pt>
                <c:pt idx="804">
                  <c:v>80</c:v>
                </c:pt>
                <c:pt idx="805">
                  <c:v>80</c:v>
                </c:pt>
                <c:pt idx="806">
                  <c:v>80</c:v>
                </c:pt>
                <c:pt idx="807">
                  <c:v>80</c:v>
                </c:pt>
                <c:pt idx="808">
                  <c:v>80</c:v>
                </c:pt>
                <c:pt idx="809">
                  <c:v>80</c:v>
                </c:pt>
                <c:pt idx="810">
                  <c:v>80</c:v>
                </c:pt>
                <c:pt idx="811">
                  <c:v>80</c:v>
                </c:pt>
                <c:pt idx="812">
                  <c:v>80</c:v>
                </c:pt>
                <c:pt idx="813">
                  <c:v>80</c:v>
                </c:pt>
                <c:pt idx="814">
                  <c:v>80</c:v>
                </c:pt>
                <c:pt idx="815">
                  <c:v>80</c:v>
                </c:pt>
                <c:pt idx="816">
                  <c:v>80</c:v>
                </c:pt>
                <c:pt idx="817">
                  <c:v>80</c:v>
                </c:pt>
                <c:pt idx="818">
                  <c:v>80</c:v>
                </c:pt>
                <c:pt idx="819">
                  <c:v>80</c:v>
                </c:pt>
                <c:pt idx="820">
                  <c:v>80</c:v>
                </c:pt>
                <c:pt idx="821">
                  <c:v>80</c:v>
                </c:pt>
                <c:pt idx="822">
                  <c:v>80</c:v>
                </c:pt>
                <c:pt idx="823">
                  <c:v>80</c:v>
                </c:pt>
                <c:pt idx="824">
                  <c:v>80</c:v>
                </c:pt>
                <c:pt idx="825">
                  <c:v>80</c:v>
                </c:pt>
                <c:pt idx="826">
                  <c:v>80</c:v>
                </c:pt>
                <c:pt idx="827">
                  <c:v>80</c:v>
                </c:pt>
                <c:pt idx="828">
                  <c:v>80</c:v>
                </c:pt>
                <c:pt idx="829">
                  <c:v>80</c:v>
                </c:pt>
                <c:pt idx="830">
                  <c:v>80</c:v>
                </c:pt>
                <c:pt idx="831">
                  <c:v>80</c:v>
                </c:pt>
                <c:pt idx="832">
                  <c:v>80</c:v>
                </c:pt>
                <c:pt idx="833">
                  <c:v>80</c:v>
                </c:pt>
                <c:pt idx="834">
                  <c:v>80</c:v>
                </c:pt>
                <c:pt idx="835">
                  <c:v>80</c:v>
                </c:pt>
                <c:pt idx="836">
                  <c:v>80</c:v>
                </c:pt>
                <c:pt idx="837">
                  <c:v>80</c:v>
                </c:pt>
                <c:pt idx="838">
                  <c:v>80</c:v>
                </c:pt>
                <c:pt idx="839">
                  <c:v>80</c:v>
                </c:pt>
                <c:pt idx="840">
                  <c:v>80</c:v>
                </c:pt>
                <c:pt idx="841">
                  <c:v>80</c:v>
                </c:pt>
                <c:pt idx="842">
                  <c:v>80</c:v>
                </c:pt>
                <c:pt idx="843">
                  <c:v>80</c:v>
                </c:pt>
                <c:pt idx="844">
                  <c:v>80</c:v>
                </c:pt>
                <c:pt idx="845">
                  <c:v>80</c:v>
                </c:pt>
                <c:pt idx="846">
                  <c:v>80</c:v>
                </c:pt>
                <c:pt idx="847">
                  <c:v>80</c:v>
                </c:pt>
                <c:pt idx="848">
                  <c:v>80</c:v>
                </c:pt>
                <c:pt idx="849">
                  <c:v>80</c:v>
                </c:pt>
                <c:pt idx="850">
                  <c:v>80</c:v>
                </c:pt>
                <c:pt idx="851">
                  <c:v>80</c:v>
                </c:pt>
                <c:pt idx="852">
                  <c:v>80</c:v>
                </c:pt>
                <c:pt idx="853">
                  <c:v>80</c:v>
                </c:pt>
                <c:pt idx="854">
                  <c:v>80</c:v>
                </c:pt>
                <c:pt idx="855">
                  <c:v>80</c:v>
                </c:pt>
                <c:pt idx="856">
                  <c:v>80</c:v>
                </c:pt>
                <c:pt idx="857">
                  <c:v>80</c:v>
                </c:pt>
                <c:pt idx="858">
                  <c:v>80</c:v>
                </c:pt>
                <c:pt idx="859">
                  <c:v>80</c:v>
                </c:pt>
                <c:pt idx="860">
                  <c:v>80</c:v>
                </c:pt>
                <c:pt idx="861">
                  <c:v>80</c:v>
                </c:pt>
                <c:pt idx="862">
                  <c:v>80</c:v>
                </c:pt>
                <c:pt idx="863">
                  <c:v>80</c:v>
                </c:pt>
                <c:pt idx="864">
                  <c:v>80</c:v>
                </c:pt>
                <c:pt idx="865">
                  <c:v>80</c:v>
                </c:pt>
                <c:pt idx="866">
                  <c:v>80</c:v>
                </c:pt>
                <c:pt idx="867">
                  <c:v>80</c:v>
                </c:pt>
                <c:pt idx="868">
                  <c:v>80</c:v>
                </c:pt>
                <c:pt idx="869">
                  <c:v>80</c:v>
                </c:pt>
                <c:pt idx="870">
                  <c:v>80</c:v>
                </c:pt>
                <c:pt idx="871">
                  <c:v>80</c:v>
                </c:pt>
                <c:pt idx="872">
                  <c:v>80</c:v>
                </c:pt>
                <c:pt idx="873">
                  <c:v>80</c:v>
                </c:pt>
                <c:pt idx="874">
                  <c:v>80</c:v>
                </c:pt>
                <c:pt idx="875">
                  <c:v>80</c:v>
                </c:pt>
                <c:pt idx="876">
                  <c:v>80</c:v>
                </c:pt>
                <c:pt idx="877">
                  <c:v>80</c:v>
                </c:pt>
                <c:pt idx="878">
                  <c:v>80</c:v>
                </c:pt>
                <c:pt idx="879">
                  <c:v>80</c:v>
                </c:pt>
                <c:pt idx="880">
                  <c:v>80</c:v>
                </c:pt>
                <c:pt idx="881">
                  <c:v>80</c:v>
                </c:pt>
                <c:pt idx="882">
                  <c:v>80</c:v>
                </c:pt>
                <c:pt idx="883">
                  <c:v>80</c:v>
                </c:pt>
                <c:pt idx="884">
                  <c:v>80</c:v>
                </c:pt>
                <c:pt idx="885">
                  <c:v>80</c:v>
                </c:pt>
                <c:pt idx="886">
                  <c:v>80</c:v>
                </c:pt>
                <c:pt idx="887">
                  <c:v>80</c:v>
                </c:pt>
                <c:pt idx="888">
                  <c:v>80</c:v>
                </c:pt>
                <c:pt idx="889">
                  <c:v>80</c:v>
                </c:pt>
                <c:pt idx="890">
                  <c:v>80</c:v>
                </c:pt>
                <c:pt idx="891">
                  <c:v>80</c:v>
                </c:pt>
                <c:pt idx="892">
                  <c:v>80</c:v>
                </c:pt>
                <c:pt idx="893">
                  <c:v>80</c:v>
                </c:pt>
                <c:pt idx="894">
                  <c:v>80</c:v>
                </c:pt>
                <c:pt idx="895">
                  <c:v>80</c:v>
                </c:pt>
                <c:pt idx="896">
                  <c:v>80</c:v>
                </c:pt>
                <c:pt idx="897">
                  <c:v>80</c:v>
                </c:pt>
                <c:pt idx="898">
                  <c:v>80</c:v>
                </c:pt>
                <c:pt idx="899">
                  <c:v>80</c:v>
                </c:pt>
                <c:pt idx="900">
                  <c:v>80</c:v>
                </c:pt>
                <c:pt idx="901">
                  <c:v>80</c:v>
                </c:pt>
                <c:pt idx="902">
                  <c:v>80</c:v>
                </c:pt>
                <c:pt idx="903">
                  <c:v>80</c:v>
                </c:pt>
                <c:pt idx="904">
                  <c:v>80</c:v>
                </c:pt>
                <c:pt idx="905">
                  <c:v>80</c:v>
                </c:pt>
                <c:pt idx="906">
                  <c:v>80</c:v>
                </c:pt>
                <c:pt idx="907">
                  <c:v>80</c:v>
                </c:pt>
                <c:pt idx="908">
                  <c:v>80</c:v>
                </c:pt>
                <c:pt idx="909">
                  <c:v>80</c:v>
                </c:pt>
                <c:pt idx="910">
                  <c:v>80</c:v>
                </c:pt>
                <c:pt idx="911">
                  <c:v>80</c:v>
                </c:pt>
                <c:pt idx="912">
                  <c:v>80</c:v>
                </c:pt>
                <c:pt idx="913">
                  <c:v>80</c:v>
                </c:pt>
                <c:pt idx="914">
                  <c:v>80</c:v>
                </c:pt>
                <c:pt idx="915">
                  <c:v>80</c:v>
                </c:pt>
                <c:pt idx="916">
                  <c:v>80</c:v>
                </c:pt>
                <c:pt idx="917">
                  <c:v>80</c:v>
                </c:pt>
                <c:pt idx="918">
                  <c:v>80</c:v>
                </c:pt>
                <c:pt idx="919">
                  <c:v>80</c:v>
                </c:pt>
                <c:pt idx="920">
                  <c:v>80</c:v>
                </c:pt>
                <c:pt idx="921">
                  <c:v>80</c:v>
                </c:pt>
                <c:pt idx="922">
                  <c:v>80</c:v>
                </c:pt>
                <c:pt idx="923">
                  <c:v>80</c:v>
                </c:pt>
                <c:pt idx="924">
                  <c:v>80</c:v>
                </c:pt>
                <c:pt idx="925">
                  <c:v>80</c:v>
                </c:pt>
                <c:pt idx="926">
                  <c:v>80</c:v>
                </c:pt>
                <c:pt idx="927">
                  <c:v>80</c:v>
                </c:pt>
                <c:pt idx="928">
                  <c:v>80</c:v>
                </c:pt>
                <c:pt idx="929">
                  <c:v>80</c:v>
                </c:pt>
                <c:pt idx="930">
                  <c:v>80</c:v>
                </c:pt>
                <c:pt idx="931">
                  <c:v>80</c:v>
                </c:pt>
                <c:pt idx="932">
                  <c:v>80</c:v>
                </c:pt>
                <c:pt idx="933">
                  <c:v>80</c:v>
                </c:pt>
                <c:pt idx="934">
                  <c:v>80</c:v>
                </c:pt>
                <c:pt idx="935">
                  <c:v>80</c:v>
                </c:pt>
                <c:pt idx="936">
                  <c:v>80</c:v>
                </c:pt>
                <c:pt idx="937">
                  <c:v>80</c:v>
                </c:pt>
                <c:pt idx="938">
                  <c:v>80</c:v>
                </c:pt>
                <c:pt idx="939">
                  <c:v>80</c:v>
                </c:pt>
                <c:pt idx="940">
                  <c:v>80</c:v>
                </c:pt>
                <c:pt idx="941">
                  <c:v>80</c:v>
                </c:pt>
                <c:pt idx="942">
                  <c:v>80</c:v>
                </c:pt>
                <c:pt idx="943">
                  <c:v>80</c:v>
                </c:pt>
                <c:pt idx="944">
                  <c:v>80</c:v>
                </c:pt>
                <c:pt idx="945">
                  <c:v>80</c:v>
                </c:pt>
                <c:pt idx="946">
                  <c:v>80</c:v>
                </c:pt>
                <c:pt idx="947">
                  <c:v>80</c:v>
                </c:pt>
                <c:pt idx="948">
                  <c:v>80</c:v>
                </c:pt>
                <c:pt idx="949">
                  <c:v>80</c:v>
                </c:pt>
                <c:pt idx="950">
                  <c:v>80</c:v>
                </c:pt>
                <c:pt idx="951">
                  <c:v>80</c:v>
                </c:pt>
                <c:pt idx="952">
                  <c:v>80</c:v>
                </c:pt>
                <c:pt idx="953">
                  <c:v>80</c:v>
                </c:pt>
                <c:pt idx="954">
                  <c:v>80</c:v>
                </c:pt>
                <c:pt idx="955">
                  <c:v>80</c:v>
                </c:pt>
                <c:pt idx="956">
                  <c:v>80</c:v>
                </c:pt>
                <c:pt idx="957">
                  <c:v>80</c:v>
                </c:pt>
                <c:pt idx="958">
                  <c:v>80</c:v>
                </c:pt>
                <c:pt idx="959">
                  <c:v>80</c:v>
                </c:pt>
                <c:pt idx="960">
                  <c:v>80</c:v>
                </c:pt>
                <c:pt idx="961">
                  <c:v>80</c:v>
                </c:pt>
                <c:pt idx="962">
                  <c:v>80</c:v>
                </c:pt>
                <c:pt idx="963">
                  <c:v>80</c:v>
                </c:pt>
                <c:pt idx="964">
                  <c:v>80</c:v>
                </c:pt>
                <c:pt idx="965">
                  <c:v>80</c:v>
                </c:pt>
                <c:pt idx="966">
                  <c:v>80</c:v>
                </c:pt>
                <c:pt idx="967">
                  <c:v>80</c:v>
                </c:pt>
                <c:pt idx="968">
                  <c:v>80</c:v>
                </c:pt>
                <c:pt idx="969">
                  <c:v>80</c:v>
                </c:pt>
                <c:pt idx="970">
                  <c:v>80</c:v>
                </c:pt>
                <c:pt idx="971">
                  <c:v>80</c:v>
                </c:pt>
                <c:pt idx="972">
                  <c:v>80</c:v>
                </c:pt>
                <c:pt idx="973">
                  <c:v>80</c:v>
                </c:pt>
                <c:pt idx="974">
                  <c:v>80</c:v>
                </c:pt>
                <c:pt idx="975">
                  <c:v>80</c:v>
                </c:pt>
                <c:pt idx="976">
                  <c:v>80</c:v>
                </c:pt>
                <c:pt idx="977">
                  <c:v>80</c:v>
                </c:pt>
                <c:pt idx="978">
                  <c:v>80</c:v>
                </c:pt>
                <c:pt idx="979">
                  <c:v>80</c:v>
                </c:pt>
                <c:pt idx="980">
                  <c:v>80</c:v>
                </c:pt>
                <c:pt idx="981">
                  <c:v>80</c:v>
                </c:pt>
                <c:pt idx="982">
                  <c:v>80</c:v>
                </c:pt>
                <c:pt idx="983">
                  <c:v>80</c:v>
                </c:pt>
                <c:pt idx="984">
                  <c:v>80</c:v>
                </c:pt>
                <c:pt idx="985">
                  <c:v>80</c:v>
                </c:pt>
                <c:pt idx="986">
                  <c:v>80</c:v>
                </c:pt>
                <c:pt idx="987">
                  <c:v>80</c:v>
                </c:pt>
                <c:pt idx="988">
                  <c:v>80</c:v>
                </c:pt>
                <c:pt idx="989">
                  <c:v>80</c:v>
                </c:pt>
                <c:pt idx="990">
                  <c:v>80</c:v>
                </c:pt>
                <c:pt idx="991">
                  <c:v>80</c:v>
                </c:pt>
                <c:pt idx="992">
                  <c:v>80</c:v>
                </c:pt>
                <c:pt idx="993">
                  <c:v>80</c:v>
                </c:pt>
                <c:pt idx="994">
                  <c:v>80</c:v>
                </c:pt>
                <c:pt idx="995">
                  <c:v>80</c:v>
                </c:pt>
                <c:pt idx="996">
                  <c:v>80</c:v>
                </c:pt>
                <c:pt idx="997">
                  <c:v>80</c:v>
                </c:pt>
                <c:pt idx="998">
                  <c:v>80</c:v>
                </c:pt>
                <c:pt idx="999">
                  <c:v>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0C-44FB-9E29-01463F602142}"/>
            </c:ext>
          </c:extLst>
        </c:ser>
        <c:ser>
          <c:idx val="1"/>
          <c:order val="1"/>
          <c:tx>
            <c:strRef>
              <c:f>Sheet1!$S$1</c:f>
              <c:strCache>
                <c:ptCount val="1"/>
                <c:pt idx="0">
                  <c:v>ta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Sheet1!$Q$2:$Q$1001</c:f>
              <c:numCache>
                <c:formatCode>General</c:formatCode>
                <c:ptCount val="10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</c:v>
                </c:pt>
                <c:pt idx="231">
                  <c:v>23.2</c:v>
                </c:pt>
                <c:pt idx="232">
                  <c:v>23.3</c:v>
                </c:pt>
                <c:pt idx="233">
                  <c:v>23.4</c:v>
                </c:pt>
                <c:pt idx="234">
                  <c:v>23.5</c:v>
                </c:pt>
                <c:pt idx="235">
                  <c:v>23.6</c:v>
                </c:pt>
                <c:pt idx="236">
                  <c:v>23.7</c:v>
                </c:pt>
                <c:pt idx="237">
                  <c:v>23.8</c:v>
                </c:pt>
                <c:pt idx="238">
                  <c:v>23.9</c:v>
                </c:pt>
                <c:pt idx="239">
                  <c:v>24</c:v>
                </c:pt>
                <c:pt idx="240">
                  <c:v>24.1</c:v>
                </c:pt>
                <c:pt idx="241">
                  <c:v>24.2</c:v>
                </c:pt>
                <c:pt idx="242">
                  <c:v>24.3</c:v>
                </c:pt>
                <c:pt idx="243">
                  <c:v>24.4</c:v>
                </c:pt>
                <c:pt idx="244">
                  <c:v>24.5</c:v>
                </c:pt>
                <c:pt idx="245">
                  <c:v>24.6</c:v>
                </c:pt>
                <c:pt idx="246">
                  <c:v>24.7</c:v>
                </c:pt>
                <c:pt idx="247">
                  <c:v>24.8</c:v>
                </c:pt>
                <c:pt idx="248">
                  <c:v>24.9</c:v>
                </c:pt>
                <c:pt idx="249">
                  <c:v>25</c:v>
                </c:pt>
                <c:pt idx="250">
                  <c:v>25.1</c:v>
                </c:pt>
                <c:pt idx="251">
                  <c:v>25.2</c:v>
                </c:pt>
                <c:pt idx="252">
                  <c:v>25.3</c:v>
                </c:pt>
                <c:pt idx="253">
                  <c:v>25.4</c:v>
                </c:pt>
                <c:pt idx="254">
                  <c:v>25.5</c:v>
                </c:pt>
                <c:pt idx="255">
                  <c:v>25.6</c:v>
                </c:pt>
                <c:pt idx="256">
                  <c:v>25.7</c:v>
                </c:pt>
                <c:pt idx="257">
                  <c:v>25.8</c:v>
                </c:pt>
                <c:pt idx="258">
                  <c:v>25.9</c:v>
                </c:pt>
                <c:pt idx="259">
                  <c:v>26</c:v>
                </c:pt>
                <c:pt idx="260">
                  <c:v>26.1</c:v>
                </c:pt>
                <c:pt idx="261">
                  <c:v>26.2</c:v>
                </c:pt>
                <c:pt idx="262">
                  <c:v>26.3</c:v>
                </c:pt>
                <c:pt idx="263">
                  <c:v>26.4</c:v>
                </c:pt>
                <c:pt idx="264">
                  <c:v>26.5</c:v>
                </c:pt>
                <c:pt idx="265">
                  <c:v>26.6</c:v>
                </c:pt>
                <c:pt idx="266">
                  <c:v>26.7</c:v>
                </c:pt>
                <c:pt idx="267">
                  <c:v>26.8</c:v>
                </c:pt>
                <c:pt idx="268">
                  <c:v>26.9</c:v>
                </c:pt>
                <c:pt idx="269">
                  <c:v>27</c:v>
                </c:pt>
                <c:pt idx="270">
                  <c:v>27.1</c:v>
                </c:pt>
                <c:pt idx="271">
                  <c:v>27.2</c:v>
                </c:pt>
                <c:pt idx="272">
                  <c:v>27.3</c:v>
                </c:pt>
                <c:pt idx="273">
                  <c:v>27.4</c:v>
                </c:pt>
                <c:pt idx="274">
                  <c:v>27.5</c:v>
                </c:pt>
                <c:pt idx="275">
                  <c:v>27.6</c:v>
                </c:pt>
                <c:pt idx="276">
                  <c:v>27.7</c:v>
                </c:pt>
                <c:pt idx="277">
                  <c:v>27.8</c:v>
                </c:pt>
                <c:pt idx="278">
                  <c:v>27.9</c:v>
                </c:pt>
                <c:pt idx="279">
                  <c:v>28</c:v>
                </c:pt>
                <c:pt idx="280">
                  <c:v>28.1</c:v>
                </c:pt>
                <c:pt idx="281">
                  <c:v>28.2</c:v>
                </c:pt>
                <c:pt idx="282">
                  <c:v>28.3</c:v>
                </c:pt>
                <c:pt idx="283">
                  <c:v>28.4</c:v>
                </c:pt>
                <c:pt idx="284">
                  <c:v>28.5</c:v>
                </c:pt>
                <c:pt idx="285">
                  <c:v>28.6</c:v>
                </c:pt>
                <c:pt idx="286">
                  <c:v>28.7</c:v>
                </c:pt>
                <c:pt idx="287">
                  <c:v>28.8</c:v>
                </c:pt>
                <c:pt idx="288">
                  <c:v>28.9</c:v>
                </c:pt>
                <c:pt idx="289">
                  <c:v>29</c:v>
                </c:pt>
                <c:pt idx="290">
                  <c:v>29.1</c:v>
                </c:pt>
                <c:pt idx="291">
                  <c:v>29.2</c:v>
                </c:pt>
                <c:pt idx="292">
                  <c:v>29.3</c:v>
                </c:pt>
                <c:pt idx="293">
                  <c:v>29.4</c:v>
                </c:pt>
                <c:pt idx="294">
                  <c:v>29.5</c:v>
                </c:pt>
                <c:pt idx="295">
                  <c:v>29.6</c:v>
                </c:pt>
                <c:pt idx="296">
                  <c:v>29.7</c:v>
                </c:pt>
                <c:pt idx="297">
                  <c:v>29.8</c:v>
                </c:pt>
                <c:pt idx="298">
                  <c:v>29.9</c:v>
                </c:pt>
                <c:pt idx="299">
                  <c:v>30</c:v>
                </c:pt>
                <c:pt idx="300">
                  <c:v>30.1</c:v>
                </c:pt>
                <c:pt idx="301">
                  <c:v>30.2</c:v>
                </c:pt>
                <c:pt idx="302">
                  <c:v>30.3</c:v>
                </c:pt>
                <c:pt idx="303">
                  <c:v>30.4</c:v>
                </c:pt>
                <c:pt idx="304">
                  <c:v>30.5</c:v>
                </c:pt>
                <c:pt idx="305">
                  <c:v>30.6</c:v>
                </c:pt>
                <c:pt idx="306">
                  <c:v>30.7</c:v>
                </c:pt>
                <c:pt idx="307">
                  <c:v>30.8</c:v>
                </c:pt>
                <c:pt idx="308">
                  <c:v>30.9</c:v>
                </c:pt>
                <c:pt idx="309">
                  <c:v>31</c:v>
                </c:pt>
                <c:pt idx="310">
                  <c:v>31.1</c:v>
                </c:pt>
                <c:pt idx="311">
                  <c:v>31.2</c:v>
                </c:pt>
                <c:pt idx="312">
                  <c:v>31.3</c:v>
                </c:pt>
                <c:pt idx="313">
                  <c:v>31.4</c:v>
                </c:pt>
                <c:pt idx="314">
                  <c:v>31.5</c:v>
                </c:pt>
                <c:pt idx="315">
                  <c:v>31.6</c:v>
                </c:pt>
                <c:pt idx="316">
                  <c:v>31.7</c:v>
                </c:pt>
                <c:pt idx="317">
                  <c:v>31.8</c:v>
                </c:pt>
                <c:pt idx="318">
                  <c:v>31.9</c:v>
                </c:pt>
                <c:pt idx="319">
                  <c:v>32</c:v>
                </c:pt>
                <c:pt idx="320">
                  <c:v>32.1</c:v>
                </c:pt>
                <c:pt idx="321">
                  <c:v>32.200000000000003</c:v>
                </c:pt>
                <c:pt idx="322">
                  <c:v>32.299999999999997</c:v>
                </c:pt>
                <c:pt idx="323">
                  <c:v>32.4</c:v>
                </c:pt>
                <c:pt idx="324">
                  <c:v>32.5</c:v>
                </c:pt>
                <c:pt idx="325">
                  <c:v>32.6</c:v>
                </c:pt>
                <c:pt idx="326">
                  <c:v>32.700000000000003</c:v>
                </c:pt>
                <c:pt idx="327">
                  <c:v>32.799999999999997</c:v>
                </c:pt>
                <c:pt idx="328">
                  <c:v>32.9</c:v>
                </c:pt>
                <c:pt idx="329">
                  <c:v>33</c:v>
                </c:pt>
                <c:pt idx="330">
                  <c:v>33.1</c:v>
                </c:pt>
                <c:pt idx="331">
                  <c:v>33.200000000000003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33.5</c:v>
                </c:pt>
                <c:pt idx="335">
                  <c:v>33.6</c:v>
                </c:pt>
                <c:pt idx="336">
                  <c:v>33.700000000000003</c:v>
                </c:pt>
                <c:pt idx="337">
                  <c:v>33.799999999999997</c:v>
                </c:pt>
                <c:pt idx="338">
                  <c:v>33.9</c:v>
                </c:pt>
                <c:pt idx="339">
                  <c:v>34</c:v>
                </c:pt>
                <c:pt idx="340">
                  <c:v>34.1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34.4</c:v>
                </c:pt>
                <c:pt idx="344">
                  <c:v>34.5</c:v>
                </c:pt>
                <c:pt idx="345">
                  <c:v>34.6</c:v>
                </c:pt>
                <c:pt idx="346">
                  <c:v>34.700000000000003</c:v>
                </c:pt>
                <c:pt idx="347">
                  <c:v>34.799999999999997</c:v>
                </c:pt>
                <c:pt idx="348">
                  <c:v>34.9</c:v>
                </c:pt>
                <c:pt idx="349">
                  <c:v>35</c:v>
                </c:pt>
                <c:pt idx="350">
                  <c:v>35.1</c:v>
                </c:pt>
                <c:pt idx="351">
                  <c:v>35.200000000000003</c:v>
                </c:pt>
                <c:pt idx="352">
                  <c:v>35.299999999999997</c:v>
                </c:pt>
                <c:pt idx="353">
                  <c:v>35.4</c:v>
                </c:pt>
                <c:pt idx="354">
                  <c:v>35.5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35.799999999999997</c:v>
                </c:pt>
                <c:pt idx="358">
                  <c:v>35.9</c:v>
                </c:pt>
                <c:pt idx="359">
                  <c:v>36</c:v>
                </c:pt>
                <c:pt idx="360">
                  <c:v>36.1</c:v>
                </c:pt>
                <c:pt idx="361">
                  <c:v>36.200000000000003</c:v>
                </c:pt>
                <c:pt idx="362">
                  <c:v>36.299999999999997</c:v>
                </c:pt>
                <c:pt idx="363">
                  <c:v>36.4</c:v>
                </c:pt>
                <c:pt idx="364">
                  <c:v>36.5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37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37.299999999999997</c:v>
                </c:pt>
                <c:pt idx="373">
                  <c:v>37.4</c:v>
                </c:pt>
                <c:pt idx="374">
                  <c:v>37.5</c:v>
                </c:pt>
                <c:pt idx="375">
                  <c:v>37.6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38</c:v>
                </c:pt>
                <c:pt idx="380">
                  <c:v>38.1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38.4</c:v>
                </c:pt>
                <c:pt idx="384">
                  <c:v>38.5</c:v>
                </c:pt>
                <c:pt idx="385">
                  <c:v>38.6</c:v>
                </c:pt>
                <c:pt idx="386">
                  <c:v>38.700000000000003</c:v>
                </c:pt>
                <c:pt idx="387">
                  <c:v>38.799999999999997</c:v>
                </c:pt>
                <c:pt idx="388">
                  <c:v>38.9</c:v>
                </c:pt>
                <c:pt idx="389">
                  <c:v>39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39.299999999999997</c:v>
                </c:pt>
                <c:pt idx="393">
                  <c:v>39.4</c:v>
                </c:pt>
                <c:pt idx="394">
                  <c:v>39.5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39.9</c:v>
                </c:pt>
                <c:pt idx="399">
                  <c:v>40</c:v>
                </c:pt>
                <c:pt idx="400">
                  <c:v>40.1</c:v>
                </c:pt>
                <c:pt idx="401">
                  <c:v>40.200000000000003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40.5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40.799999999999997</c:v>
                </c:pt>
                <c:pt idx="408">
                  <c:v>40.9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41.3</c:v>
                </c:pt>
                <c:pt idx="413">
                  <c:v>41.4</c:v>
                </c:pt>
                <c:pt idx="414">
                  <c:v>41.5</c:v>
                </c:pt>
                <c:pt idx="415">
                  <c:v>41.6</c:v>
                </c:pt>
                <c:pt idx="416">
                  <c:v>41.7</c:v>
                </c:pt>
                <c:pt idx="417">
                  <c:v>41.8</c:v>
                </c:pt>
                <c:pt idx="418">
                  <c:v>41.9</c:v>
                </c:pt>
                <c:pt idx="419">
                  <c:v>42</c:v>
                </c:pt>
                <c:pt idx="420">
                  <c:v>42.1</c:v>
                </c:pt>
                <c:pt idx="421">
                  <c:v>42.2</c:v>
                </c:pt>
                <c:pt idx="422">
                  <c:v>42.3</c:v>
                </c:pt>
                <c:pt idx="423">
                  <c:v>42.4</c:v>
                </c:pt>
                <c:pt idx="424">
                  <c:v>42.5</c:v>
                </c:pt>
                <c:pt idx="425">
                  <c:v>42.6</c:v>
                </c:pt>
                <c:pt idx="426">
                  <c:v>42.7</c:v>
                </c:pt>
                <c:pt idx="427">
                  <c:v>42.8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43.2</c:v>
                </c:pt>
                <c:pt idx="432">
                  <c:v>43.3</c:v>
                </c:pt>
                <c:pt idx="433">
                  <c:v>43.4</c:v>
                </c:pt>
                <c:pt idx="434">
                  <c:v>43.5</c:v>
                </c:pt>
                <c:pt idx="435">
                  <c:v>43.6</c:v>
                </c:pt>
                <c:pt idx="436">
                  <c:v>43.7</c:v>
                </c:pt>
                <c:pt idx="437">
                  <c:v>43.8</c:v>
                </c:pt>
                <c:pt idx="438">
                  <c:v>43.9</c:v>
                </c:pt>
                <c:pt idx="439">
                  <c:v>44</c:v>
                </c:pt>
                <c:pt idx="440">
                  <c:v>44.1</c:v>
                </c:pt>
                <c:pt idx="441">
                  <c:v>44.2</c:v>
                </c:pt>
                <c:pt idx="442">
                  <c:v>44.3</c:v>
                </c:pt>
                <c:pt idx="443">
                  <c:v>44.4</c:v>
                </c:pt>
                <c:pt idx="444">
                  <c:v>44.5</c:v>
                </c:pt>
                <c:pt idx="445">
                  <c:v>44.6</c:v>
                </c:pt>
                <c:pt idx="446">
                  <c:v>44.7</c:v>
                </c:pt>
                <c:pt idx="447">
                  <c:v>44.8</c:v>
                </c:pt>
                <c:pt idx="448">
                  <c:v>44.9</c:v>
                </c:pt>
                <c:pt idx="449">
                  <c:v>45</c:v>
                </c:pt>
                <c:pt idx="450">
                  <c:v>45.1</c:v>
                </c:pt>
                <c:pt idx="451">
                  <c:v>45.2</c:v>
                </c:pt>
                <c:pt idx="452">
                  <c:v>45.3</c:v>
                </c:pt>
                <c:pt idx="453">
                  <c:v>45.4</c:v>
                </c:pt>
                <c:pt idx="454">
                  <c:v>45.5</c:v>
                </c:pt>
                <c:pt idx="455">
                  <c:v>45.6</c:v>
                </c:pt>
                <c:pt idx="456">
                  <c:v>45.7</c:v>
                </c:pt>
                <c:pt idx="457">
                  <c:v>45.8</c:v>
                </c:pt>
                <c:pt idx="458">
                  <c:v>45.9</c:v>
                </c:pt>
                <c:pt idx="459">
                  <c:v>46</c:v>
                </c:pt>
                <c:pt idx="460">
                  <c:v>46.1</c:v>
                </c:pt>
                <c:pt idx="461">
                  <c:v>46.2</c:v>
                </c:pt>
                <c:pt idx="462">
                  <c:v>46.3</c:v>
                </c:pt>
                <c:pt idx="463">
                  <c:v>46.4</c:v>
                </c:pt>
                <c:pt idx="464">
                  <c:v>46.5</c:v>
                </c:pt>
                <c:pt idx="465">
                  <c:v>46.6</c:v>
                </c:pt>
                <c:pt idx="466">
                  <c:v>46.7</c:v>
                </c:pt>
                <c:pt idx="467">
                  <c:v>46.8</c:v>
                </c:pt>
                <c:pt idx="468">
                  <c:v>46.9</c:v>
                </c:pt>
                <c:pt idx="469">
                  <c:v>47</c:v>
                </c:pt>
                <c:pt idx="470">
                  <c:v>47.1</c:v>
                </c:pt>
                <c:pt idx="471">
                  <c:v>47.2</c:v>
                </c:pt>
                <c:pt idx="472">
                  <c:v>47.3</c:v>
                </c:pt>
                <c:pt idx="473">
                  <c:v>47.4</c:v>
                </c:pt>
                <c:pt idx="474">
                  <c:v>47.5</c:v>
                </c:pt>
                <c:pt idx="475">
                  <c:v>47.6</c:v>
                </c:pt>
                <c:pt idx="476">
                  <c:v>47.7</c:v>
                </c:pt>
                <c:pt idx="477">
                  <c:v>47.8</c:v>
                </c:pt>
                <c:pt idx="478">
                  <c:v>47.9</c:v>
                </c:pt>
                <c:pt idx="479">
                  <c:v>48</c:v>
                </c:pt>
                <c:pt idx="480">
                  <c:v>48.1</c:v>
                </c:pt>
                <c:pt idx="481">
                  <c:v>48.2</c:v>
                </c:pt>
                <c:pt idx="482">
                  <c:v>48.3</c:v>
                </c:pt>
                <c:pt idx="483">
                  <c:v>48.4</c:v>
                </c:pt>
                <c:pt idx="484">
                  <c:v>48.5</c:v>
                </c:pt>
                <c:pt idx="485">
                  <c:v>48.6</c:v>
                </c:pt>
                <c:pt idx="486">
                  <c:v>48.7</c:v>
                </c:pt>
                <c:pt idx="487">
                  <c:v>48.8</c:v>
                </c:pt>
                <c:pt idx="488">
                  <c:v>48.9</c:v>
                </c:pt>
                <c:pt idx="489">
                  <c:v>49</c:v>
                </c:pt>
                <c:pt idx="490">
                  <c:v>49.1</c:v>
                </c:pt>
                <c:pt idx="491">
                  <c:v>49.2</c:v>
                </c:pt>
                <c:pt idx="492">
                  <c:v>49.3</c:v>
                </c:pt>
                <c:pt idx="493">
                  <c:v>49.4</c:v>
                </c:pt>
                <c:pt idx="494">
                  <c:v>49.5</c:v>
                </c:pt>
                <c:pt idx="495">
                  <c:v>49.6</c:v>
                </c:pt>
                <c:pt idx="496">
                  <c:v>49.7</c:v>
                </c:pt>
                <c:pt idx="497">
                  <c:v>49.8</c:v>
                </c:pt>
                <c:pt idx="498">
                  <c:v>49.9</c:v>
                </c:pt>
                <c:pt idx="499">
                  <c:v>50</c:v>
                </c:pt>
                <c:pt idx="500">
                  <c:v>50.1</c:v>
                </c:pt>
                <c:pt idx="501">
                  <c:v>50.2</c:v>
                </c:pt>
                <c:pt idx="502">
                  <c:v>50.3</c:v>
                </c:pt>
                <c:pt idx="503">
                  <c:v>50.4</c:v>
                </c:pt>
                <c:pt idx="504">
                  <c:v>50.5</c:v>
                </c:pt>
                <c:pt idx="505">
                  <c:v>50.6</c:v>
                </c:pt>
                <c:pt idx="506">
                  <c:v>50.7</c:v>
                </c:pt>
                <c:pt idx="507">
                  <c:v>50.8</c:v>
                </c:pt>
                <c:pt idx="508">
                  <c:v>50.9</c:v>
                </c:pt>
                <c:pt idx="509">
                  <c:v>51</c:v>
                </c:pt>
                <c:pt idx="510">
                  <c:v>51.1</c:v>
                </c:pt>
                <c:pt idx="511">
                  <c:v>51.2</c:v>
                </c:pt>
                <c:pt idx="512">
                  <c:v>51.3</c:v>
                </c:pt>
                <c:pt idx="513">
                  <c:v>51.4</c:v>
                </c:pt>
                <c:pt idx="514">
                  <c:v>51.5</c:v>
                </c:pt>
                <c:pt idx="515">
                  <c:v>51.6</c:v>
                </c:pt>
                <c:pt idx="516">
                  <c:v>51.7</c:v>
                </c:pt>
                <c:pt idx="517">
                  <c:v>51.8</c:v>
                </c:pt>
                <c:pt idx="518">
                  <c:v>51.9</c:v>
                </c:pt>
                <c:pt idx="519">
                  <c:v>52</c:v>
                </c:pt>
                <c:pt idx="520">
                  <c:v>52.1</c:v>
                </c:pt>
                <c:pt idx="521">
                  <c:v>52.2</c:v>
                </c:pt>
                <c:pt idx="522">
                  <c:v>52.3</c:v>
                </c:pt>
                <c:pt idx="523">
                  <c:v>52.4</c:v>
                </c:pt>
                <c:pt idx="524">
                  <c:v>52.5</c:v>
                </c:pt>
                <c:pt idx="525">
                  <c:v>52.6</c:v>
                </c:pt>
                <c:pt idx="526">
                  <c:v>52.7</c:v>
                </c:pt>
                <c:pt idx="527">
                  <c:v>52.8</c:v>
                </c:pt>
                <c:pt idx="528">
                  <c:v>52.9</c:v>
                </c:pt>
                <c:pt idx="529">
                  <c:v>53</c:v>
                </c:pt>
                <c:pt idx="530">
                  <c:v>53.1</c:v>
                </c:pt>
                <c:pt idx="531">
                  <c:v>53.2</c:v>
                </c:pt>
                <c:pt idx="532">
                  <c:v>53.3</c:v>
                </c:pt>
                <c:pt idx="533">
                  <c:v>53.4</c:v>
                </c:pt>
                <c:pt idx="534">
                  <c:v>53.5</c:v>
                </c:pt>
                <c:pt idx="535">
                  <c:v>53.6</c:v>
                </c:pt>
                <c:pt idx="536">
                  <c:v>53.7</c:v>
                </c:pt>
                <c:pt idx="537">
                  <c:v>53.8</c:v>
                </c:pt>
                <c:pt idx="538">
                  <c:v>53.9</c:v>
                </c:pt>
                <c:pt idx="539">
                  <c:v>54</c:v>
                </c:pt>
                <c:pt idx="540">
                  <c:v>54.1</c:v>
                </c:pt>
                <c:pt idx="541">
                  <c:v>54.2</c:v>
                </c:pt>
                <c:pt idx="542">
                  <c:v>54.3</c:v>
                </c:pt>
                <c:pt idx="543">
                  <c:v>54.4</c:v>
                </c:pt>
                <c:pt idx="544">
                  <c:v>54.5</c:v>
                </c:pt>
                <c:pt idx="545">
                  <c:v>54.6</c:v>
                </c:pt>
                <c:pt idx="546">
                  <c:v>54.7</c:v>
                </c:pt>
                <c:pt idx="547">
                  <c:v>54.8</c:v>
                </c:pt>
                <c:pt idx="548">
                  <c:v>54.9</c:v>
                </c:pt>
                <c:pt idx="549">
                  <c:v>55</c:v>
                </c:pt>
                <c:pt idx="550">
                  <c:v>55.1</c:v>
                </c:pt>
                <c:pt idx="551">
                  <c:v>55.2</c:v>
                </c:pt>
                <c:pt idx="552">
                  <c:v>55.3</c:v>
                </c:pt>
                <c:pt idx="553">
                  <c:v>55.4</c:v>
                </c:pt>
                <c:pt idx="554">
                  <c:v>55.5</c:v>
                </c:pt>
                <c:pt idx="555">
                  <c:v>55.6</c:v>
                </c:pt>
                <c:pt idx="556">
                  <c:v>55.7</c:v>
                </c:pt>
                <c:pt idx="557">
                  <c:v>55.8</c:v>
                </c:pt>
                <c:pt idx="558">
                  <c:v>55.9</c:v>
                </c:pt>
                <c:pt idx="559">
                  <c:v>56</c:v>
                </c:pt>
                <c:pt idx="560">
                  <c:v>56.1</c:v>
                </c:pt>
                <c:pt idx="561">
                  <c:v>56.2</c:v>
                </c:pt>
                <c:pt idx="562">
                  <c:v>56.3</c:v>
                </c:pt>
                <c:pt idx="563">
                  <c:v>56.4</c:v>
                </c:pt>
                <c:pt idx="564">
                  <c:v>56.5</c:v>
                </c:pt>
                <c:pt idx="565">
                  <c:v>56.6</c:v>
                </c:pt>
                <c:pt idx="566">
                  <c:v>56.7</c:v>
                </c:pt>
                <c:pt idx="567">
                  <c:v>56.8</c:v>
                </c:pt>
                <c:pt idx="568">
                  <c:v>56.9</c:v>
                </c:pt>
                <c:pt idx="569">
                  <c:v>57</c:v>
                </c:pt>
                <c:pt idx="570">
                  <c:v>57.1</c:v>
                </c:pt>
                <c:pt idx="571">
                  <c:v>57.2</c:v>
                </c:pt>
                <c:pt idx="572">
                  <c:v>57.3</c:v>
                </c:pt>
                <c:pt idx="573">
                  <c:v>57.4</c:v>
                </c:pt>
                <c:pt idx="574">
                  <c:v>57.5</c:v>
                </c:pt>
                <c:pt idx="575">
                  <c:v>57.6</c:v>
                </c:pt>
                <c:pt idx="576">
                  <c:v>57.7</c:v>
                </c:pt>
                <c:pt idx="577">
                  <c:v>57.8</c:v>
                </c:pt>
                <c:pt idx="578">
                  <c:v>57.9</c:v>
                </c:pt>
                <c:pt idx="579">
                  <c:v>58</c:v>
                </c:pt>
                <c:pt idx="580">
                  <c:v>58.1</c:v>
                </c:pt>
                <c:pt idx="581">
                  <c:v>58.2</c:v>
                </c:pt>
                <c:pt idx="582">
                  <c:v>58.3</c:v>
                </c:pt>
                <c:pt idx="583">
                  <c:v>58.4</c:v>
                </c:pt>
                <c:pt idx="584">
                  <c:v>58.5</c:v>
                </c:pt>
                <c:pt idx="585">
                  <c:v>58.6</c:v>
                </c:pt>
                <c:pt idx="586">
                  <c:v>58.7</c:v>
                </c:pt>
                <c:pt idx="587">
                  <c:v>58.8</c:v>
                </c:pt>
                <c:pt idx="588">
                  <c:v>58.9</c:v>
                </c:pt>
                <c:pt idx="589">
                  <c:v>59</c:v>
                </c:pt>
                <c:pt idx="590">
                  <c:v>59.1</c:v>
                </c:pt>
                <c:pt idx="591">
                  <c:v>59.2</c:v>
                </c:pt>
                <c:pt idx="592">
                  <c:v>59.3</c:v>
                </c:pt>
                <c:pt idx="593">
                  <c:v>59.4</c:v>
                </c:pt>
                <c:pt idx="594">
                  <c:v>59.5</c:v>
                </c:pt>
                <c:pt idx="595">
                  <c:v>59.6</c:v>
                </c:pt>
                <c:pt idx="596">
                  <c:v>59.7</c:v>
                </c:pt>
                <c:pt idx="597">
                  <c:v>59.8</c:v>
                </c:pt>
                <c:pt idx="598">
                  <c:v>59.9</c:v>
                </c:pt>
                <c:pt idx="599">
                  <c:v>60</c:v>
                </c:pt>
                <c:pt idx="600">
                  <c:v>60.1</c:v>
                </c:pt>
                <c:pt idx="601">
                  <c:v>60.2</c:v>
                </c:pt>
                <c:pt idx="602">
                  <c:v>60.3</c:v>
                </c:pt>
                <c:pt idx="603">
                  <c:v>60.4</c:v>
                </c:pt>
                <c:pt idx="604">
                  <c:v>60.5</c:v>
                </c:pt>
                <c:pt idx="605">
                  <c:v>60.6</c:v>
                </c:pt>
                <c:pt idx="606">
                  <c:v>60.7</c:v>
                </c:pt>
                <c:pt idx="607">
                  <c:v>60.8</c:v>
                </c:pt>
                <c:pt idx="608">
                  <c:v>60.9</c:v>
                </c:pt>
                <c:pt idx="609">
                  <c:v>61</c:v>
                </c:pt>
                <c:pt idx="610">
                  <c:v>61.1</c:v>
                </c:pt>
                <c:pt idx="611">
                  <c:v>61.2</c:v>
                </c:pt>
                <c:pt idx="612">
                  <c:v>61.3</c:v>
                </c:pt>
                <c:pt idx="613">
                  <c:v>61.4</c:v>
                </c:pt>
                <c:pt idx="614">
                  <c:v>61.5</c:v>
                </c:pt>
                <c:pt idx="615">
                  <c:v>61.6</c:v>
                </c:pt>
                <c:pt idx="616">
                  <c:v>61.7</c:v>
                </c:pt>
                <c:pt idx="617">
                  <c:v>61.8</c:v>
                </c:pt>
                <c:pt idx="618">
                  <c:v>61.9</c:v>
                </c:pt>
                <c:pt idx="619">
                  <c:v>62</c:v>
                </c:pt>
                <c:pt idx="620">
                  <c:v>62.1</c:v>
                </c:pt>
                <c:pt idx="621">
                  <c:v>62.2</c:v>
                </c:pt>
                <c:pt idx="622">
                  <c:v>62.3</c:v>
                </c:pt>
                <c:pt idx="623">
                  <c:v>62.4</c:v>
                </c:pt>
                <c:pt idx="624">
                  <c:v>62.5</c:v>
                </c:pt>
                <c:pt idx="625">
                  <c:v>62.6</c:v>
                </c:pt>
                <c:pt idx="626">
                  <c:v>62.7</c:v>
                </c:pt>
                <c:pt idx="627">
                  <c:v>62.8</c:v>
                </c:pt>
                <c:pt idx="628">
                  <c:v>62.9</c:v>
                </c:pt>
                <c:pt idx="629">
                  <c:v>63</c:v>
                </c:pt>
                <c:pt idx="630">
                  <c:v>63.1</c:v>
                </c:pt>
                <c:pt idx="631">
                  <c:v>63.2</c:v>
                </c:pt>
                <c:pt idx="632">
                  <c:v>63.3</c:v>
                </c:pt>
                <c:pt idx="633">
                  <c:v>63.4</c:v>
                </c:pt>
                <c:pt idx="634">
                  <c:v>63.5</c:v>
                </c:pt>
                <c:pt idx="635">
                  <c:v>63.6</c:v>
                </c:pt>
                <c:pt idx="636">
                  <c:v>63.7</c:v>
                </c:pt>
                <c:pt idx="637">
                  <c:v>63.8</c:v>
                </c:pt>
                <c:pt idx="638">
                  <c:v>63.9</c:v>
                </c:pt>
                <c:pt idx="639">
                  <c:v>64</c:v>
                </c:pt>
                <c:pt idx="640">
                  <c:v>64.099999999999994</c:v>
                </c:pt>
                <c:pt idx="641">
                  <c:v>64.2</c:v>
                </c:pt>
                <c:pt idx="642">
                  <c:v>64.3</c:v>
                </c:pt>
                <c:pt idx="643">
                  <c:v>64.400000000000006</c:v>
                </c:pt>
                <c:pt idx="644">
                  <c:v>64.5</c:v>
                </c:pt>
                <c:pt idx="645">
                  <c:v>64.599999999999994</c:v>
                </c:pt>
                <c:pt idx="646">
                  <c:v>64.7</c:v>
                </c:pt>
                <c:pt idx="647">
                  <c:v>64.8</c:v>
                </c:pt>
                <c:pt idx="648">
                  <c:v>64.900000000000006</c:v>
                </c:pt>
                <c:pt idx="649">
                  <c:v>65</c:v>
                </c:pt>
                <c:pt idx="650">
                  <c:v>65.099999999999994</c:v>
                </c:pt>
                <c:pt idx="651">
                  <c:v>65.2</c:v>
                </c:pt>
                <c:pt idx="652">
                  <c:v>65.3</c:v>
                </c:pt>
                <c:pt idx="653">
                  <c:v>65.400000000000006</c:v>
                </c:pt>
                <c:pt idx="654">
                  <c:v>65.5</c:v>
                </c:pt>
                <c:pt idx="655">
                  <c:v>65.599999999999994</c:v>
                </c:pt>
                <c:pt idx="656">
                  <c:v>65.7</c:v>
                </c:pt>
                <c:pt idx="657">
                  <c:v>65.8</c:v>
                </c:pt>
                <c:pt idx="658">
                  <c:v>65.900000000000006</c:v>
                </c:pt>
                <c:pt idx="659">
                  <c:v>66</c:v>
                </c:pt>
                <c:pt idx="660">
                  <c:v>66.099999999999994</c:v>
                </c:pt>
                <c:pt idx="661">
                  <c:v>66.2</c:v>
                </c:pt>
                <c:pt idx="662">
                  <c:v>66.3</c:v>
                </c:pt>
                <c:pt idx="663">
                  <c:v>66.400000000000006</c:v>
                </c:pt>
                <c:pt idx="664">
                  <c:v>66.5</c:v>
                </c:pt>
                <c:pt idx="665">
                  <c:v>66.599999999999994</c:v>
                </c:pt>
                <c:pt idx="666">
                  <c:v>66.7</c:v>
                </c:pt>
                <c:pt idx="667">
                  <c:v>66.8</c:v>
                </c:pt>
                <c:pt idx="668">
                  <c:v>66.900000000000006</c:v>
                </c:pt>
                <c:pt idx="669">
                  <c:v>67</c:v>
                </c:pt>
                <c:pt idx="670">
                  <c:v>67.099999999999994</c:v>
                </c:pt>
                <c:pt idx="671">
                  <c:v>67.2</c:v>
                </c:pt>
                <c:pt idx="672">
                  <c:v>67.3</c:v>
                </c:pt>
                <c:pt idx="673">
                  <c:v>67.400000000000006</c:v>
                </c:pt>
                <c:pt idx="674">
                  <c:v>67.5</c:v>
                </c:pt>
                <c:pt idx="675">
                  <c:v>67.599999999999994</c:v>
                </c:pt>
                <c:pt idx="676">
                  <c:v>67.7</c:v>
                </c:pt>
                <c:pt idx="677">
                  <c:v>67.8</c:v>
                </c:pt>
                <c:pt idx="678">
                  <c:v>67.900000000000006</c:v>
                </c:pt>
                <c:pt idx="679">
                  <c:v>68</c:v>
                </c:pt>
                <c:pt idx="680">
                  <c:v>68.099999999999994</c:v>
                </c:pt>
                <c:pt idx="681">
                  <c:v>68.2</c:v>
                </c:pt>
                <c:pt idx="682">
                  <c:v>68.3</c:v>
                </c:pt>
                <c:pt idx="683">
                  <c:v>68.400000000000006</c:v>
                </c:pt>
                <c:pt idx="684">
                  <c:v>68.5</c:v>
                </c:pt>
                <c:pt idx="685">
                  <c:v>68.599999999999994</c:v>
                </c:pt>
                <c:pt idx="686">
                  <c:v>68.7</c:v>
                </c:pt>
                <c:pt idx="687">
                  <c:v>68.8</c:v>
                </c:pt>
                <c:pt idx="688">
                  <c:v>68.900000000000006</c:v>
                </c:pt>
                <c:pt idx="689">
                  <c:v>69</c:v>
                </c:pt>
                <c:pt idx="690">
                  <c:v>69.099999999999994</c:v>
                </c:pt>
                <c:pt idx="691">
                  <c:v>69.2</c:v>
                </c:pt>
                <c:pt idx="692">
                  <c:v>69.3</c:v>
                </c:pt>
                <c:pt idx="693">
                  <c:v>69.400000000000006</c:v>
                </c:pt>
                <c:pt idx="694">
                  <c:v>69.5</c:v>
                </c:pt>
                <c:pt idx="695">
                  <c:v>69.599999999999994</c:v>
                </c:pt>
                <c:pt idx="696">
                  <c:v>69.7</c:v>
                </c:pt>
                <c:pt idx="697">
                  <c:v>69.8</c:v>
                </c:pt>
                <c:pt idx="698">
                  <c:v>69.900000000000006</c:v>
                </c:pt>
                <c:pt idx="699">
                  <c:v>70</c:v>
                </c:pt>
                <c:pt idx="700">
                  <c:v>70.099999999999994</c:v>
                </c:pt>
                <c:pt idx="701">
                  <c:v>70.2</c:v>
                </c:pt>
                <c:pt idx="702">
                  <c:v>70.3</c:v>
                </c:pt>
                <c:pt idx="703">
                  <c:v>70.400000000000006</c:v>
                </c:pt>
                <c:pt idx="704">
                  <c:v>70.5</c:v>
                </c:pt>
                <c:pt idx="705">
                  <c:v>70.599999999999994</c:v>
                </c:pt>
                <c:pt idx="706">
                  <c:v>70.7</c:v>
                </c:pt>
                <c:pt idx="707">
                  <c:v>70.8</c:v>
                </c:pt>
                <c:pt idx="708">
                  <c:v>70.900000000000006</c:v>
                </c:pt>
                <c:pt idx="709">
                  <c:v>71</c:v>
                </c:pt>
                <c:pt idx="710">
                  <c:v>71.099999999999994</c:v>
                </c:pt>
                <c:pt idx="711">
                  <c:v>71.2</c:v>
                </c:pt>
                <c:pt idx="712">
                  <c:v>71.3</c:v>
                </c:pt>
                <c:pt idx="713">
                  <c:v>71.400000000000006</c:v>
                </c:pt>
                <c:pt idx="714">
                  <c:v>71.5</c:v>
                </c:pt>
                <c:pt idx="715">
                  <c:v>71.599999999999994</c:v>
                </c:pt>
                <c:pt idx="716">
                  <c:v>71.7</c:v>
                </c:pt>
                <c:pt idx="717">
                  <c:v>71.8</c:v>
                </c:pt>
                <c:pt idx="718">
                  <c:v>71.900000000000006</c:v>
                </c:pt>
                <c:pt idx="719">
                  <c:v>72</c:v>
                </c:pt>
                <c:pt idx="720">
                  <c:v>72.099999999999994</c:v>
                </c:pt>
                <c:pt idx="721">
                  <c:v>72.2</c:v>
                </c:pt>
                <c:pt idx="722">
                  <c:v>72.3</c:v>
                </c:pt>
                <c:pt idx="723">
                  <c:v>72.400000000000006</c:v>
                </c:pt>
                <c:pt idx="724">
                  <c:v>72.5</c:v>
                </c:pt>
                <c:pt idx="725">
                  <c:v>72.599999999999994</c:v>
                </c:pt>
                <c:pt idx="726">
                  <c:v>72.7</c:v>
                </c:pt>
                <c:pt idx="727">
                  <c:v>72.8</c:v>
                </c:pt>
                <c:pt idx="728">
                  <c:v>72.900000000000006</c:v>
                </c:pt>
                <c:pt idx="729">
                  <c:v>73</c:v>
                </c:pt>
                <c:pt idx="730">
                  <c:v>73.099999999999994</c:v>
                </c:pt>
                <c:pt idx="731">
                  <c:v>73.2</c:v>
                </c:pt>
                <c:pt idx="732">
                  <c:v>73.3</c:v>
                </c:pt>
                <c:pt idx="733">
                  <c:v>73.400000000000006</c:v>
                </c:pt>
                <c:pt idx="734">
                  <c:v>73.5</c:v>
                </c:pt>
                <c:pt idx="735">
                  <c:v>73.599999999999994</c:v>
                </c:pt>
                <c:pt idx="736">
                  <c:v>73.7</c:v>
                </c:pt>
                <c:pt idx="737">
                  <c:v>73.8</c:v>
                </c:pt>
                <c:pt idx="738">
                  <c:v>73.900000000000006</c:v>
                </c:pt>
                <c:pt idx="739">
                  <c:v>74</c:v>
                </c:pt>
                <c:pt idx="740">
                  <c:v>74.099999999999994</c:v>
                </c:pt>
                <c:pt idx="741">
                  <c:v>74.2</c:v>
                </c:pt>
                <c:pt idx="742">
                  <c:v>74.3</c:v>
                </c:pt>
                <c:pt idx="743">
                  <c:v>74.400000000000006</c:v>
                </c:pt>
                <c:pt idx="744">
                  <c:v>74.5</c:v>
                </c:pt>
                <c:pt idx="745">
                  <c:v>74.599999999999994</c:v>
                </c:pt>
                <c:pt idx="746">
                  <c:v>74.7</c:v>
                </c:pt>
                <c:pt idx="747">
                  <c:v>74.8</c:v>
                </c:pt>
                <c:pt idx="748">
                  <c:v>74.900000000000006</c:v>
                </c:pt>
                <c:pt idx="749">
                  <c:v>75</c:v>
                </c:pt>
                <c:pt idx="750">
                  <c:v>75.099999999999994</c:v>
                </c:pt>
                <c:pt idx="751">
                  <c:v>75.2</c:v>
                </c:pt>
                <c:pt idx="752">
                  <c:v>75.3</c:v>
                </c:pt>
                <c:pt idx="753">
                  <c:v>75.400000000000006</c:v>
                </c:pt>
                <c:pt idx="754">
                  <c:v>75.5</c:v>
                </c:pt>
                <c:pt idx="755">
                  <c:v>75.599999999999994</c:v>
                </c:pt>
                <c:pt idx="756">
                  <c:v>75.7</c:v>
                </c:pt>
                <c:pt idx="757">
                  <c:v>75.8</c:v>
                </c:pt>
                <c:pt idx="758">
                  <c:v>75.900000000000006</c:v>
                </c:pt>
                <c:pt idx="759">
                  <c:v>76</c:v>
                </c:pt>
                <c:pt idx="760">
                  <c:v>76.099999999999994</c:v>
                </c:pt>
                <c:pt idx="761">
                  <c:v>76.2</c:v>
                </c:pt>
                <c:pt idx="762">
                  <c:v>76.3</c:v>
                </c:pt>
                <c:pt idx="763">
                  <c:v>76.400000000000006</c:v>
                </c:pt>
                <c:pt idx="764">
                  <c:v>76.5</c:v>
                </c:pt>
                <c:pt idx="765">
                  <c:v>76.599999999999994</c:v>
                </c:pt>
                <c:pt idx="766">
                  <c:v>76.7</c:v>
                </c:pt>
                <c:pt idx="767">
                  <c:v>76.8</c:v>
                </c:pt>
                <c:pt idx="768">
                  <c:v>76.900000000000006</c:v>
                </c:pt>
                <c:pt idx="769">
                  <c:v>77</c:v>
                </c:pt>
                <c:pt idx="770">
                  <c:v>77.099999999999994</c:v>
                </c:pt>
                <c:pt idx="771">
                  <c:v>77.2</c:v>
                </c:pt>
                <c:pt idx="772">
                  <c:v>77.3</c:v>
                </c:pt>
                <c:pt idx="773">
                  <c:v>77.400000000000006</c:v>
                </c:pt>
                <c:pt idx="774">
                  <c:v>77.5</c:v>
                </c:pt>
                <c:pt idx="775">
                  <c:v>77.599999999999994</c:v>
                </c:pt>
                <c:pt idx="776">
                  <c:v>77.7</c:v>
                </c:pt>
                <c:pt idx="777">
                  <c:v>77.8</c:v>
                </c:pt>
                <c:pt idx="778">
                  <c:v>77.900000000000006</c:v>
                </c:pt>
                <c:pt idx="779">
                  <c:v>78</c:v>
                </c:pt>
                <c:pt idx="780">
                  <c:v>78.099999999999994</c:v>
                </c:pt>
                <c:pt idx="781">
                  <c:v>78.2</c:v>
                </c:pt>
                <c:pt idx="782">
                  <c:v>78.3</c:v>
                </c:pt>
                <c:pt idx="783">
                  <c:v>78.400000000000006</c:v>
                </c:pt>
                <c:pt idx="784">
                  <c:v>78.5</c:v>
                </c:pt>
                <c:pt idx="785">
                  <c:v>78.599999999999994</c:v>
                </c:pt>
                <c:pt idx="786">
                  <c:v>78.7</c:v>
                </c:pt>
                <c:pt idx="787">
                  <c:v>78.8</c:v>
                </c:pt>
                <c:pt idx="788">
                  <c:v>78.900000000000006</c:v>
                </c:pt>
                <c:pt idx="789">
                  <c:v>79</c:v>
                </c:pt>
                <c:pt idx="790">
                  <c:v>79.099999999999994</c:v>
                </c:pt>
                <c:pt idx="791">
                  <c:v>79.2</c:v>
                </c:pt>
                <c:pt idx="792">
                  <c:v>79.3</c:v>
                </c:pt>
                <c:pt idx="793">
                  <c:v>79.400000000000006</c:v>
                </c:pt>
                <c:pt idx="794">
                  <c:v>79.5</c:v>
                </c:pt>
                <c:pt idx="795">
                  <c:v>79.599999999999994</c:v>
                </c:pt>
                <c:pt idx="796">
                  <c:v>79.7</c:v>
                </c:pt>
                <c:pt idx="797">
                  <c:v>79.8</c:v>
                </c:pt>
                <c:pt idx="798">
                  <c:v>79.900000000000006</c:v>
                </c:pt>
                <c:pt idx="799">
                  <c:v>80</c:v>
                </c:pt>
                <c:pt idx="800">
                  <c:v>80.099999999999994</c:v>
                </c:pt>
                <c:pt idx="801">
                  <c:v>80.2</c:v>
                </c:pt>
                <c:pt idx="802">
                  <c:v>80.3</c:v>
                </c:pt>
                <c:pt idx="803">
                  <c:v>80.400000000000006</c:v>
                </c:pt>
                <c:pt idx="804">
                  <c:v>80.5</c:v>
                </c:pt>
                <c:pt idx="805">
                  <c:v>80.599999999999994</c:v>
                </c:pt>
                <c:pt idx="806">
                  <c:v>80.7</c:v>
                </c:pt>
                <c:pt idx="807">
                  <c:v>80.8</c:v>
                </c:pt>
                <c:pt idx="808">
                  <c:v>80.900000000000006</c:v>
                </c:pt>
                <c:pt idx="809">
                  <c:v>81</c:v>
                </c:pt>
                <c:pt idx="810">
                  <c:v>81.099999999999994</c:v>
                </c:pt>
                <c:pt idx="811">
                  <c:v>81.2</c:v>
                </c:pt>
                <c:pt idx="812">
                  <c:v>81.3</c:v>
                </c:pt>
                <c:pt idx="813">
                  <c:v>81.400000000000006</c:v>
                </c:pt>
                <c:pt idx="814">
                  <c:v>81.5</c:v>
                </c:pt>
                <c:pt idx="815">
                  <c:v>81.599999999999994</c:v>
                </c:pt>
                <c:pt idx="816">
                  <c:v>81.7</c:v>
                </c:pt>
                <c:pt idx="817">
                  <c:v>81.8</c:v>
                </c:pt>
                <c:pt idx="818">
                  <c:v>81.900000000000006</c:v>
                </c:pt>
                <c:pt idx="819">
                  <c:v>82</c:v>
                </c:pt>
                <c:pt idx="820">
                  <c:v>82.1</c:v>
                </c:pt>
                <c:pt idx="821">
                  <c:v>82.2</c:v>
                </c:pt>
                <c:pt idx="822">
                  <c:v>82.3</c:v>
                </c:pt>
                <c:pt idx="823">
                  <c:v>82.4</c:v>
                </c:pt>
                <c:pt idx="824">
                  <c:v>82.5</c:v>
                </c:pt>
                <c:pt idx="825">
                  <c:v>82.6</c:v>
                </c:pt>
                <c:pt idx="826">
                  <c:v>82.7</c:v>
                </c:pt>
                <c:pt idx="827">
                  <c:v>82.8</c:v>
                </c:pt>
                <c:pt idx="828">
                  <c:v>82.9</c:v>
                </c:pt>
                <c:pt idx="829">
                  <c:v>83</c:v>
                </c:pt>
                <c:pt idx="830">
                  <c:v>83.1</c:v>
                </c:pt>
                <c:pt idx="831">
                  <c:v>83.2</c:v>
                </c:pt>
                <c:pt idx="832">
                  <c:v>83.3</c:v>
                </c:pt>
                <c:pt idx="833">
                  <c:v>83.4</c:v>
                </c:pt>
                <c:pt idx="834">
                  <c:v>83.5</c:v>
                </c:pt>
                <c:pt idx="835">
                  <c:v>83.6</c:v>
                </c:pt>
                <c:pt idx="836">
                  <c:v>83.7</c:v>
                </c:pt>
                <c:pt idx="837">
                  <c:v>83.8</c:v>
                </c:pt>
                <c:pt idx="838">
                  <c:v>83.9</c:v>
                </c:pt>
                <c:pt idx="839">
                  <c:v>84</c:v>
                </c:pt>
                <c:pt idx="840">
                  <c:v>84.1</c:v>
                </c:pt>
                <c:pt idx="841">
                  <c:v>84.2</c:v>
                </c:pt>
                <c:pt idx="842">
                  <c:v>84.3</c:v>
                </c:pt>
                <c:pt idx="843">
                  <c:v>84.4</c:v>
                </c:pt>
                <c:pt idx="844">
                  <c:v>84.5</c:v>
                </c:pt>
                <c:pt idx="845">
                  <c:v>84.6</c:v>
                </c:pt>
                <c:pt idx="846">
                  <c:v>84.7</c:v>
                </c:pt>
                <c:pt idx="847">
                  <c:v>84.8</c:v>
                </c:pt>
                <c:pt idx="848">
                  <c:v>84.9</c:v>
                </c:pt>
                <c:pt idx="849">
                  <c:v>85</c:v>
                </c:pt>
                <c:pt idx="850">
                  <c:v>85.1</c:v>
                </c:pt>
                <c:pt idx="851">
                  <c:v>85.2</c:v>
                </c:pt>
                <c:pt idx="852">
                  <c:v>85.3</c:v>
                </c:pt>
                <c:pt idx="853">
                  <c:v>85.4</c:v>
                </c:pt>
                <c:pt idx="854">
                  <c:v>85.5</c:v>
                </c:pt>
                <c:pt idx="855">
                  <c:v>85.6</c:v>
                </c:pt>
                <c:pt idx="856">
                  <c:v>85.7</c:v>
                </c:pt>
                <c:pt idx="857">
                  <c:v>85.8</c:v>
                </c:pt>
                <c:pt idx="858">
                  <c:v>85.9</c:v>
                </c:pt>
                <c:pt idx="859">
                  <c:v>86</c:v>
                </c:pt>
                <c:pt idx="860">
                  <c:v>86.1</c:v>
                </c:pt>
                <c:pt idx="861">
                  <c:v>86.2</c:v>
                </c:pt>
                <c:pt idx="862">
                  <c:v>86.3</c:v>
                </c:pt>
                <c:pt idx="863">
                  <c:v>86.4</c:v>
                </c:pt>
                <c:pt idx="864">
                  <c:v>86.5</c:v>
                </c:pt>
                <c:pt idx="865">
                  <c:v>86.6</c:v>
                </c:pt>
                <c:pt idx="866">
                  <c:v>86.7</c:v>
                </c:pt>
                <c:pt idx="867">
                  <c:v>86.8</c:v>
                </c:pt>
                <c:pt idx="868">
                  <c:v>86.9</c:v>
                </c:pt>
                <c:pt idx="869">
                  <c:v>87</c:v>
                </c:pt>
                <c:pt idx="870">
                  <c:v>87.1</c:v>
                </c:pt>
                <c:pt idx="871">
                  <c:v>87.2</c:v>
                </c:pt>
                <c:pt idx="872">
                  <c:v>87.3</c:v>
                </c:pt>
                <c:pt idx="873">
                  <c:v>87.4</c:v>
                </c:pt>
                <c:pt idx="874">
                  <c:v>87.5</c:v>
                </c:pt>
                <c:pt idx="875">
                  <c:v>87.6</c:v>
                </c:pt>
                <c:pt idx="876">
                  <c:v>87.7</c:v>
                </c:pt>
                <c:pt idx="877">
                  <c:v>87.8</c:v>
                </c:pt>
                <c:pt idx="878">
                  <c:v>87.9</c:v>
                </c:pt>
                <c:pt idx="879">
                  <c:v>88</c:v>
                </c:pt>
                <c:pt idx="880">
                  <c:v>88.1</c:v>
                </c:pt>
                <c:pt idx="881">
                  <c:v>88.2</c:v>
                </c:pt>
                <c:pt idx="882">
                  <c:v>88.3</c:v>
                </c:pt>
                <c:pt idx="883">
                  <c:v>88.4</c:v>
                </c:pt>
                <c:pt idx="884">
                  <c:v>88.5</c:v>
                </c:pt>
                <c:pt idx="885">
                  <c:v>88.6</c:v>
                </c:pt>
                <c:pt idx="886">
                  <c:v>88.7</c:v>
                </c:pt>
                <c:pt idx="887">
                  <c:v>88.8</c:v>
                </c:pt>
                <c:pt idx="888">
                  <c:v>88.9</c:v>
                </c:pt>
                <c:pt idx="889">
                  <c:v>89</c:v>
                </c:pt>
                <c:pt idx="890">
                  <c:v>89.1</c:v>
                </c:pt>
                <c:pt idx="891">
                  <c:v>89.2</c:v>
                </c:pt>
                <c:pt idx="892">
                  <c:v>89.3</c:v>
                </c:pt>
                <c:pt idx="893">
                  <c:v>89.4</c:v>
                </c:pt>
                <c:pt idx="894">
                  <c:v>89.5</c:v>
                </c:pt>
                <c:pt idx="895">
                  <c:v>89.6</c:v>
                </c:pt>
                <c:pt idx="896">
                  <c:v>89.7</c:v>
                </c:pt>
                <c:pt idx="897">
                  <c:v>89.8</c:v>
                </c:pt>
                <c:pt idx="898">
                  <c:v>89.9</c:v>
                </c:pt>
                <c:pt idx="899">
                  <c:v>90</c:v>
                </c:pt>
                <c:pt idx="900">
                  <c:v>90.1</c:v>
                </c:pt>
                <c:pt idx="901">
                  <c:v>90.2</c:v>
                </c:pt>
                <c:pt idx="902">
                  <c:v>90.3</c:v>
                </c:pt>
                <c:pt idx="903">
                  <c:v>90.4</c:v>
                </c:pt>
                <c:pt idx="904">
                  <c:v>90.5</c:v>
                </c:pt>
                <c:pt idx="905">
                  <c:v>90.6</c:v>
                </c:pt>
                <c:pt idx="906">
                  <c:v>90.7</c:v>
                </c:pt>
                <c:pt idx="907">
                  <c:v>90.8</c:v>
                </c:pt>
                <c:pt idx="908">
                  <c:v>90.9</c:v>
                </c:pt>
                <c:pt idx="909">
                  <c:v>91</c:v>
                </c:pt>
                <c:pt idx="910">
                  <c:v>91.1</c:v>
                </c:pt>
                <c:pt idx="911">
                  <c:v>91.2</c:v>
                </c:pt>
                <c:pt idx="912">
                  <c:v>91.3</c:v>
                </c:pt>
                <c:pt idx="913">
                  <c:v>91.4</c:v>
                </c:pt>
                <c:pt idx="914">
                  <c:v>91.5</c:v>
                </c:pt>
                <c:pt idx="915">
                  <c:v>91.6</c:v>
                </c:pt>
                <c:pt idx="916">
                  <c:v>91.7</c:v>
                </c:pt>
                <c:pt idx="917">
                  <c:v>91.8</c:v>
                </c:pt>
                <c:pt idx="918">
                  <c:v>91.9</c:v>
                </c:pt>
                <c:pt idx="919">
                  <c:v>92</c:v>
                </c:pt>
                <c:pt idx="920">
                  <c:v>92.1</c:v>
                </c:pt>
                <c:pt idx="921">
                  <c:v>92.2</c:v>
                </c:pt>
                <c:pt idx="922">
                  <c:v>92.3</c:v>
                </c:pt>
                <c:pt idx="923">
                  <c:v>92.4</c:v>
                </c:pt>
                <c:pt idx="924">
                  <c:v>92.5</c:v>
                </c:pt>
                <c:pt idx="925">
                  <c:v>92.6</c:v>
                </c:pt>
                <c:pt idx="926">
                  <c:v>92.7</c:v>
                </c:pt>
                <c:pt idx="927">
                  <c:v>92.8</c:v>
                </c:pt>
                <c:pt idx="928">
                  <c:v>92.9</c:v>
                </c:pt>
                <c:pt idx="929">
                  <c:v>93</c:v>
                </c:pt>
                <c:pt idx="930">
                  <c:v>93.1</c:v>
                </c:pt>
                <c:pt idx="931">
                  <c:v>93.2</c:v>
                </c:pt>
                <c:pt idx="932">
                  <c:v>93.3</c:v>
                </c:pt>
                <c:pt idx="933">
                  <c:v>93.4</c:v>
                </c:pt>
                <c:pt idx="934">
                  <c:v>93.5</c:v>
                </c:pt>
                <c:pt idx="935">
                  <c:v>93.6</c:v>
                </c:pt>
                <c:pt idx="936">
                  <c:v>93.7</c:v>
                </c:pt>
                <c:pt idx="937">
                  <c:v>93.8</c:v>
                </c:pt>
                <c:pt idx="938">
                  <c:v>93.9</c:v>
                </c:pt>
                <c:pt idx="939">
                  <c:v>94</c:v>
                </c:pt>
                <c:pt idx="940">
                  <c:v>94.1</c:v>
                </c:pt>
                <c:pt idx="941">
                  <c:v>94.2</c:v>
                </c:pt>
                <c:pt idx="942">
                  <c:v>94.3</c:v>
                </c:pt>
                <c:pt idx="943">
                  <c:v>94.4</c:v>
                </c:pt>
                <c:pt idx="944">
                  <c:v>94.5</c:v>
                </c:pt>
                <c:pt idx="945">
                  <c:v>94.6</c:v>
                </c:pt>
                <c:pt idx="946">
                  <c:v>94.7</c:v>
                </c:pt>
                <c:pt idx="947">
                  <c:v>94.8</c:v>
                </c:pt>
                <c:pt idx="948">
                  <c:v>94.9</c:v>
                </c:pt>
                <c:pt idx="949">
                  <c:v>95</c:v>
                </c:pt>
                <c:pt idx="950">
                  <c:v>95.1</c:v>
                </c:pt>
                <c:pt idx="951">
                  <c:v>95.2</c:v>
                </c:pt>
                <c:pt idx="952">
                  <c:v>95.3</c:v>
                </c:pt>
                <c:pt idx="953">
                  <c:v>95.4</c:v>
                </c:pt>
                <c:pt idx="954">
                  <c:v>95.5</c:v>
                </c:pt>
                <c:pt idx="955">
                  <c:v>95.6</c:v>
                </c:pt>
                <c:pt idx="956">
                  <c:v>95.7</c:v>
                </c:pt>
                <c:pt idx="957">
                  <c:v>95.8</c:v>
                </c:pt>
                <c:pt idx="958">
                  <c:v>95.9</c:v>
                </c:pt>
                <c:pt idx="959">
                  <c:v>96</c:v>
                </c:pt>
                <c:pt idx="960">
                  <c:v>96.1</c:v>
                </c:pt>
                <c:pt idx="961">
                  <c:v>96.2</c:v>
                </c:pt>
                <c:pt idx="962">
                  <c:v>96.3</c:v>
                </c:pt>
                <c:pt idx="963">
                  <c:v>96.4</c:v>
                </c:pt>
                <c:pt idx="964">
                  <c:v>96.5</c:v>
                </c:pt>
                <c:pt idx="965">
                  <c:v>96.6</c:v>
                </c:pt>
                <c:pt idx="966">
                  <c:v>96.7</c:v>
                </c:pt>
                <c:pt idx="967">
                  <c:v>96.8</c:v>
                </c:pt>
                <c:pt idx="968">
                  <c:v>96.9</c:v>
                </c:pt>
                <c:pt idx="969">
                  <c:v>97</c:v>
                </c:pt>
                <c:pt idx="970">
                  <c:v>97.1</c:v>
                </c:pt>
                <c:pt idx="971">
                  <c:v>97.2</c:v>
                </c:pt>
                <c:pt idx="972">
                  <c:v>97.3</c:v>
                </c:pt>
                <c:pt idx="973">
                  <c:v>97.4</c:v>
                </c:pt>
                <c:pt idx="974">
                  <c:v>97.5</c:v>
                </c:pt>
                <c:pt idx="975">
                  <c:v>97.6</c:v>
                </c:pt>
                <c:pt idx="976">
                  <c:v>97.7</c:v>
                </c:pt>
                <c:pt idx="977">
                  <c:v>97.8</c:v>
                </c:pt>
                <c:pt idx="978">
                  <c:v>97.9</c:v>
                </c:pt>
                <c:pt idx="979">
                  <c:v>98</c:v>
                </c:pt>
                <c:pt idx="980">
                  <c:v>98.1</c:v>
                </c:pt>
                <c:pt idx="981">
                  <c:v>98.2</c:v>
                </c:pt>
                <c:pt idx="982">
                  <c:v>98.3</c:v>
                </c:pt>
                <c:pt idx="983">
                  <c:v>98.4</c:v>
                </c:pt>
                <c:pt idx="984">
                  <c:v>98.5</c:v>
                </c:pt>
                <c:pt idx="985">
                  <c:v>98.6</c:v>
                </c:pt>
                <c:pt idx="986">
                  <c:v>98.7</c:v>
                </c:pt>
                <c:pt idx="987">
                  <c:v>98.8</c:v>
                </c:pt>
                <c:pt idx="988">
                  <c:v>98.9</c:v>
                </c:pt>
                <c:pt idx="989">
                  <c:v>99</c:v>
                </c:pt>
                <c:pt idx="990">
                  <c:v>99.1</c:v>
                </c:pt>
                <c:pt idx="991">
                  <c:v>99.2</c:v>
                </c:pt>
                <c:pt idx="992">
                  <c:v>99.3</c:v>
                </c:pt>
                <c:pt idx="993">
                  <c:v>99.4</c:v>
                </c:pt>
                <c:pt idx="994">
                  <c:v>99.5</c:v>
                </c:pt>
                <c:pt idx="995">
                  <c:v>99.6</c:v>
                </c:pt>
                <c:pt idx="996">
                  <c:v>99.7</c:v>
                </c:pt>
                <c:pt idx="997">
                  <c:v>99.8</c:v>
                </c:pt>
                <c:pt idx="998">
                  <c:v>99.9</c:v>
                </c:pt>
                <c:pt idx="999">
                  <c:v>100</c:v>
                </c:pt>
              </c:numCache>
            </c:numRef>
          </c:xVal>
          <c:yVal>
            <c:numRef>
              <c:f>Sheet1!$S$2:$S$1001</c:f>
              <c:numCache>
                <c:formatCode>General</c:formatCode>
                <c:ptCount val="1000"/>
                <c:pt idx="0">
                  <c:v>29.6</c:v>
                </c:pt>
                <c:pt idx="1">
                  <c:v>29.6</c:v>
                </c:pt>
                <c:pt idx="2">
                  <c:v>29.77</c:v>
                </c:pt>
                <c:pt idx="3">
                  <c:v>29.81</c:v>
                </c:pt>
                <c:pt idx="4">
                  <c:v>29.83</c:v>
                </c:pt>
                <c:pt idx="5">
                  <c:v>29.91</c:v>
                </c:pt>
                <c:pt idx="6">
                  <c:v>30.12</c:v>
                </c:pt>
                <c:pt idx="7">
                  <c:v>30.33</c:v>
                </c:pt>
                <c:pt idx="8">
                  <c:v>30.63</c:v>
                </c:pt>
                <c:pt idx="9">
                  <c:v>30.92</c:v>
                </c:pt>
                <c:pt idx="10">
                  <c:v>31.34</c:v>
                </c:pt>
                <c:pt idx="11">
                  <c:v>31.76</c:v>
                </c:pt>
                <c:pt idx="12">
                  <c:v>32.21</c:v>
                </c:pt>
                <c:pt idx="13">
                  <c:v>32.770000000000003</c:v>
                </c:pt>
                <c:pt idx="14">
                  <c:v>33.270000000000003</c:v>
                </c:pt>
                <c:pt idx="15">
                  <c:v>33.79</c:v>
                </c:pt>
                <c:pt idx="16">
                  <c:v>34.31</c:v>
                </c:pt>
                <c:pt idx="17">
                  <c:v>34.86</c:v>
                </c:pt>
                <c:pt idx="18">
                  <c:v>35.409999999999997</c:v>
                </c:pt>
                <c:pt idx="19">
                  <c:v>35.94</c:v>
                </c:pt>
                <c:pt idx="20">
                  <c:v>36.53</c:v>
                </c:pt>
                <c:pt idx="21">
                  <c:v>37.08</c:v>
                </c:pt>
                <c:pt idx="22">
                  <c:v>37.64</c:v>
                </c:pt>
                <c:pt idx="23">
                  <c:v>38.21</c:v>
                </c:pt>
                <c:pt idx="24">
                  <c:v>38.76</c:v>
                </c:pt>
                <c:pt idx="25">
                  <c:v>39.299999999999997</c:v>
                </c:pt>
                <c:pt idx="26">
                  <c:v>39.85</c:v>
                </c:pt>
                <c:pt idx="27">
                  <c:v>40.369999999999997</c:v>
                </c:pt>
                <c:pt idx="28">
                  <c:v>40.96</c:v>
                </c:pt>
                <c:pt idx="29">
                  <c:v>41.48</c:v>
                </c:pt>
                <c:pt idx="30">
                  <c:v>42.02</c:v>
                </c:pt>
                <c:pt idx="31">
                  <c:v>42.55</c:v>
                </c:pt>
                <c:pt idx="32">
                  <c:v>43.07</c:v>
                </c:pt>
                <c:pt idx="33">
                  <c:v>43.62</c:v>
                </c:pt>
                <c:pt idx="34">
                  <c:v>44.12</c:v>
                </c:pt>
                <c:pt idx="35">
                  <c:v>44.62</c:v>
                </c:pt>
                <c:pt idx="36">
                  <c:v>45.12</c:v>
                </c:pt>
                <c:pt idx="37">
                  <c:v>45.62</c:v>
                </c:pt>
                <c:pt idx="38">
                  <c:v>46.11</c:v>
                </c:pt>
                <c:pt idx="39">
                  <c:v>46.64</c:v>
                </c:pt>
                <c:pt idx="40">
                  <c:v>47.16</c:v>
                </c:pt>
                <c:pt idx="41">
                  <c:v>47.65</c:v>
                </c:pt>
                <c:pt idx="42">
                  <c:v>47.96</c:v>
                </c:pt>
                <c:pt idx="43">
                  <c:v>48.44</c:v>
                </c:pt>
                <c:pt idx="44">
                  <c:v>48.91</c:v>
                </c:pt>
                <c:pt idx="45">
                  <c:v>49.33</c:v>
                </c:pt>
                <c:pt idx="46">
                  <c:v>49.76</c:v>
                </c:pt>
                <c:pt idx="47">
                  <c:v>50.16</c:v>
                </c:pt>
                <c:pt idx="48">
                  <c:v>50.54</c:v>
                </c:pt>
                <c:pt idx="49">
                  <c:v>50.92</c:v>
                </c:pt>
                <c:pt idx="50">
                  <c:v>51.16</c:v>
                </c:pt>
                <c:pt idx="51">
                  <c:v>51.45</c:v>
                </c:pt>
                <c:pt idx="52">
                  <c:v>51.63</c:v>
                </c:pt>
                <c:pt idx="53">
                  <c:v>51.82</c:v>
                </c:pt>
                <c:pt idx="54">
                  <c:v>51.88</c:v>
                </c:pt>
                <c:pt idx="55">
                  <c:v>52.01</c:v>
                </c:pt>
                <c:pt idx="56">
                  <c:v>52.03</c:v>
                </c:pt>
                <c:pt idx="57">
                  <c:v>52.03</c:v>
                </c:pt>
                <c:pt idx="58">
                  <c:v>51.99</c:v>
                </c:pt>
                <c:pt idx="59">
                  <c:v>51.93</c:v>
                </c:pt>
                <c:pt idx="60">
                  <c:v>51.82</c:v>
                </c:pt>
                <c:pt idx="61">
                  <c:v>51.71</c:v>
                </c:pt>
                <c:pt idx="62">
                  <c:v>51.57</c:v>
                </c:pt>
                <c:pt idx="63">
                  <c:v>51.49</c:v>
                </c:pt>
                <c:pt idx="64">
                  <c:v>51.35</c:v>
                </c:pt>
                <c:pt idx="65">
                  <c:v>51.15</c:v>
                </c:pt>
                <c:pt idx="66">
                  <c:v>51.02</c:v>
                </c:pt>
                <c:pt idx="67">
                  <c:v>50.92</c:v>
                </c:pt>
                <c:pt idx="68">
                  <c:v>50.69</c:v>
                </c:pt>
                <c:pt idx="69">
                  <c:v>50.6</c:v>
                </c:pt>
                <c:pt idx="70">
                  <c:v>50.43</c:v>
                </c:pt>
                <c:pt idx="71">
                  <c:v>50.29</c:v>
                </c:pt>
                <c:pt idx="72">
                  <c:v>50.19</c:v>
                </c:pt>
                <c:pt idx="73">
                  <c:v>50</c:v>
                </c:pt>
                <c:pt idx="74">
                  <c:v>49.95</c:v>
                </c:pt>
                <c:pt idx="75">
                  <c:v>49.87</c:v>
                </c:pt>
                <c:pt idx="76">
                  <c:v>49.83</c:v>
                </c:pt>
                <c:pt idx="77">
                  <c:v>49.82</c:v>
                </c:pt>
                <c:pt idx="78">
                  <c:v>49.77</c:v>
                </c:pt>
                <c:pt idx="79">
                  <c:v>49.77</c:v>
                </c:pt>
                <c:pt idx="80">
                  <c:v>49.76</c:v>
                </c:pt>
                <c:pt idx="81">
                  <c:v>49.79</c:v>
                </c:pt>
                <c:pt idx="82">
                  <c:v>49.83</c:v>
                </c:pt>
                <c:pt idx="83">
                  <c:v>49.89</c:v>
                </c:pt>
                <c:pt idx="84">
                  <c:v>49.93</c:v>
                </c:pt>
                <c:pt idx="85">
                  <c:v>49.91</c:v>
                </c:pt>
                <c:pt idx="86">
                  <c:v>50</c:v>
                </c:pt>
                <c:pt idx="87">
                  <c:v>50.03</c:v>
                </c:pt>
                <c:pt idx="88">
                  <c:v>50.12</c:v>
                </c:pt>
                <c:pt idx="89">
                  <c:v>50.14</c:v>
                </c:pt>
                <c:pt idx="90">
                  <c:v>50.22</c:v>
                </c:pt>
                <c:pt idx="91">
                  <c:v>50.2</c:v>
                </c:pt>
                <c:pt idx="92">
                  <c:v>50.24</c:v>
                </c:pt>
                <c:pt idx="93">
                  <c:v>50.34</c:v>
                </c:pt>
                <c:pt idx="94">
                  <c:v>50.38</c:v>
                </c:pt>
                <c:pt idx="95">
                  <c:v>50.39</c:v>
                </c:pt>
                <c:pt idx="96">
                  <c:v>50.41</c:v>
                </c:pt>
                <c:pt idx="97">
                  <c:v>50.43</c:v>
                </c:pt>
                <c:pt idx="98">
                  <c:v>50.47</c:v>
                </c:pt>
                <c:pt idx="99">
                  <c:v>50.5</c:v>
                </c:pt>
                <c:pt idx="100">
                  <c:v>50.49</c:v>
                </c:pt>
                <c:pt idx="101">
                  <c:v>50.53</c:v>
                </c:pt>
                <c:pt idx="102">
                  <c:v>50.55</c:v>
                </c:pt>
                <c:pt idx="103">
                  <c:v>50.55</c:v>
                </c:pt>
                <c:pt idx="104">
                  <c:v>50.52</c:v>
                </c:pt>
                <c:pt idx="105">
                  <c:v>50.56</c:v>
                </c:pt>
                <c:pt idx="106">
                  <c:v>50.54</c:v>
                </c:pt>
                <c:pt idx="107">
                  <c:v>50.56</c:v>
                </c:pt>
                <c:pt idx="108">
                  <c:v>50.54</c:v>
                </c:pt>
                <c:pt idx="109">
                  <c:v>50.58</c:v>
                </c:pt>
                <c:pt idx="110">
                  <c:v>50.56</c:v>
                </c:pt>
                <c:pt idx="111">
                  <c:v>50.53</c:v>
                </c:pt>
                <c:pt idx="112">
                  <c:v>50.54</c:v>
                </c:pt>
                <c:pt idx="113">
                  <c:v>50.53</c:v>
                </c:pt>
                <c:pt idx="114">
                  <c:v>50.5</c:v>
                </c:pt>
                <c:pt idx="115">
                  <c:v>50.49</c:v>
                </c:pt>
                <c:pt idx="116">
                  <c:v>50.46</c:v>
                </c:pt>
                <c:pt idx="117">
                  <c:v>50.52</c:v>
                </c:pt>
                <c:pt idx="118">
                  <c:v>50.52</c:v>
                </c:pt>
                <c:pt idx="119">
                  <c:v>50.49</c:v>
                </c:pt>
                <c:pt idx="120">
                  <c:v>50.48</c:v>
                </c:pt>
                <c:pt idx="121">
                  <c:v>50.49</c:v>
                </c:pt>
                <c:pt idx="122">
                  <c:v>50.52</c:v>
                </c:pt>
                <c:pt idx="123">
                  <c:v>50.49</c:v>
                </c:pt>
                <c:pt idx="124">
                  <c:v>50.49</c:v>
                </c:pt>
                <c:pt idx="125">
                  <c:v>50.46</c:v>
                </c:pt>
                <c:pt idx="126">
                  <c:v>50.5</c:v>
                </c:pt>
                <c:pt idx="127">
                  <c:v>50.49</c:v>
                </c:pt>
                <c:pt idx="128">
                  <c:v>50.43</c:v>
                </c:pt>
                <c:pt idx="129">
                  <c:v>50.49</c:v>
                </c:pt>
                <c:pt idx="130">
                  <c:v>50.46</c:v>
                </c:pt>
                <c:pt idx="131">
                  <c:v>50.48</c:v>
                </c:pt>
                <c:pt idx="132">
                  <c:v>50.47</c:v>
                </c:pt>
                <c:pt idx="133">
                  <c:v>50.48</c:v>
                </c:pt>
                <c:pt idx="134">
                  <c:v>50.47</c:v>
                </c:pt>
                <c:pt idx="135">
                  <c:v>50.42</c:v>
                </c:pt>
                <c:pt idx="136">
                  <c:v>50.43</c:v>
                </c:pt>
                <c:pt idx="137">
                  <c:v>50.48</c:v>
                </c:pt>
                <c:pt idx="138">
                  <c:v>50.43</c:v>
                </c:pt>
                <c:pt idx="139">
                  <c:v>50.45</c:v>
                </c:pt>
                <c:pt idx="140">
                  <c:v>50.45</c:v>
                </c:pt>
                <c:pt idx="141">
                  <c:v>50.41</c:v>
                </c:pt>
                <c:pt idx="142">
                  <c:v>50.41</c:v>
                </c:pt>
                <c:pt idx="143">
                  <c:v>50.41</c:v>
                </c:pt>
                <c:pt idx="144">
                  <c:v>50.45</c:v>
                </c:pt>
                <c:pt idx="145">
                  <c:v>50.44</c:v>
                </c:pt>
                <c:pt idx="146">
                  <c:v>50.45</c:v>
                </c:pt>
                <c:pt idx="147">
                  <c:v>50.46</c:v>
                </c:pt>
                <c:pt idx="148">
                  <c:v>50.47</c:v>
                </c:pt>
                <c:pt idx="149">
                  <c:v>50.46</c:v>
                </c:pt>
                <c:pt idx="150">
                  <c:v>50.46</c:v>
                </c:pt>
                <c:pt idx="151">
                  <c:v>50.47</c:v>
                </c:pt>
                <c:pt idx="152">
                  <c:v>50.42</c:v>
                </c:pt>
                <c:pt idx="153">
                  <c:v>50.41</c:v>
                </c:pt>
                <c:pt idx="154">
                  <c:v>50.43</c:v>
                </c:pt>
                <c:pt idx="155">
                  <c:v>50.46</c:v>
                </c:pt>
                <c:pt idx="156">
                  <c:v>50.47</c:v>
                </c:pt>
                <c:pt idx="157">
                  <c:v>50.45</c:v>
                </c:pt>
                <c:pt idx="158">
                  <c:v>50.4</c:v>
                </c:pt>
                <c:pt idx="159">
                  <c:v>50.43</c:v>
                </c:pt>
                <c:pt idx="160">
                  <c:v>50.44</c:v>
                </c:pt>
                <c:pt idx="161">
                  <c:v>50.45</c:v>
                </c:pt>
                <c:pt idx="162">
                  <c:v>50.45</c:v>
                </c:pt>
                <c:pt idx="163">
                  <c:v>50.46</c:v>
                </c:pt>
                <c:pt idx="164">
                  <c:v>50.44</c:v>
                </c:pt>
                <c:pt idx="165">
                  <c:v>50.45</c:v>
                </c:pt>
                <c:pt idx="166">
                  <c:v>50.42</c:v>
                </c:pt>
                <c:pt idx="167">
                  <c:v>50.46</c:v>
                </c:pt>
                <c:pt idx="168">
                  <c:v>50.48</c:v>
                </c:pt>
                <c:pt idx="169">
                  <c:v>50.47</c:v>
                </c:pt>
                <c:pt idx="170">
                  <c:v>50.45</c:v>
                </c:pt>
                <c:pt idx="171">
                  <c:v>50.45</c:v>
                </c:pt>
                <c:pt idx="172">
                  <c:v>50.46</c:v>
                </c:pt>
                <c:pt idx="173">
                  <c:v>50.47</c:v>
                </c:pt>
                <c:pt idx="174">
                  <c:v>50.47</c:v>
                </c:pt>
                <c:pt idx="175">
                  <c:v>50.39</c:v>
                </c:pt>
                <c:pt idx="176">
                  <c:v>50.44</c:v>
                </c:pt>
                <c:pt idx="177">
                  <c:v>50.45</c:v>
                </c:pt>
                <c:pt idx="178">
                  <c:v>50.47</c:v>
                </c:pt>
                <c:pt idx="179">
                  <c:v>50.52</c:v>
                </c:pt>
                <c:pt idx="180">
                  <c:v>50.48</c:v>
                </c:pt>
                <c:pt idx="181">
                  <c:v>50.53</c:v>
                </c:pt>
                <c:pt idx="182">
                  <c:v>50.5</c:v>
                </c:pt>
                <c:pt idx="183">
                  <c:v>50.54</c:v>
                </c:pt>
                <c:pt idx="184">
                  <c:v>50.52</c:v>
                </c:pt>
                <c:pt idx="185">
                  <c:v>50.54</c:v>
                </c:pt>
                <c:pt idx="186">
                  <c:v>50.5</c:v>
                </c:pt>
                <c:pt idx="187">
                  <c:v>50.53</c:v>
                </c:pt>
                <c:pt idx="188">
                  <c:v>50.62</c:v>
                </c:pt>
                <c:pt idx="189">
                  <c:v>50.58</c:v>
                </c:pt>
                <c:pt idx="190">
                  <c:v>50.59</c:v>
                </c:pt>
                <c:pt idx="191">
                  <c:v>50.6</c:v>
                </c:pt>
                <c:pt idx="192">
                  <c:v>50.63</c:v>
                </c:pt>
                <c:pt idx="193">
                  <c:v>50.61</c:v>
                </c:pt>
                <c:pt idx="194">
                  <c:v>50.56</c:v>
                </c:pt>
                <c:pt idx="195">
                  <c:v>50.55</c:v>
                </c:pt>
                <c:pt idx="196">
                  <c:v>50.52</c:v>
                </c:pt>
                <c:pt idx="197">
                  <c:v>50.55</c:v>
                </c:pt>
                <c:pt idx="198">
                  <c:v>50.56</c:v>
                </c:pt>
                <c:pt idx="199">
                  <c:v>50.54</c:v>
                </c:pt>
                <c:pt idx="200">
                  <c:v>50.56</c:v>
                </c:pt>
                <c:pt idx="201">
                  <c:v>50.49</c:v>
                </c:pt>
                <c:pt idx="202">
                  <c:v>50.54</c:v>
                </c:pt>
                <c:pt idx="203">
                  <c:v>50.52</c:v>
                </c:pt>
                <c:pt idx="204">
                  <c:v>50.49</c:v>
                </c:pt>
                <c:pt idx="205">
                  <c:v>50.52</c:v>
                </c:pt>
                <c:pt idx="206">
                  <c:v>50.49</c:v>
                </c:pt>
                <c:pt idx="207">
                  <c:v>50.5</c:v>
                </c:pt>
                <c:pt idx="208">
                  <c:v>50.47</c:v>
                </c:pt>
                <c:pt idx="209">
                  <c:v>50.49</c:v>
                </c:pt>
                <c:pt idx="210">
                  <c:v>50.43</c:v>
                </c:pt>
                <c:pt idx="211">
                  <c:v>50.43</c:v>
                </c:pt>
                <c:pt idx="212">
                  <c:v>50.45</c:v>
                </c:pt>
                <c:pt idx="213">
                  <c:v>50.45</c:v>
                </c:pt>
                <c:pt idx="214">
                  <c:v>50.48</c:v>
                </c:pt>
                <c:pt idx="215">
                  <c:v>50.49</c:v>
                </c:pt>
                <c:pt idx="216">
                  <c:v>50.45</c:v>
                </c:pt>
                <c:pt idx="217">
                  <c:v>50.45</c:v>
                </c:pt>
                <c:pt idx="218">
                  <c:v>50.44</c:v>
                </c:pt>
                <c:pt idx="219">
                  <c:v>50.44</c:v>
                </c:pt>
                <c:pt idx="220">
                  <c:v>50.44</c:v>
                </c:pt>
                <c:pt idx="221">
                  <c:v>50.4</c:v>
                </c:pt>
                <c:pt idx="222">
                  <c:v>50.43</c:v>
                </c:pt>
                <c:pt idx="223">
                  <c:v>50.45</c:v>
                </c:pt>
                <c:pt idx="224">
                  <c:v>50.44</c:v>
                </c:pt>
                <c:pt idx="225">
                  <c:v>50.43</c:v>
                </c:pt>
                <c:pt idx="226">
                  <c:v>50.47</c:v>
                </c:pt>
                <c:pt idx="227">
                  <c:v>50.47</c:v>
                </c:pt>
                <c:pt idx="228">
                  <c:v>50.44</c:v>
                </c:pt>
                <c:pt idx="229">
                  <c:v>50.44</c:v>
                </c:pt>
                <c:pt idx="230">
                  <c:v>50.47</c:v>
                </c:pt>
                <c:pt idx="231">
                  <c:v>50.46</c:v>
                </c:pt>
                <c:pt idx="232">
                  <c:v>50.43</c:v>
                </c:pt>
                <c:pt idx="233">
                  <c:v>50.45</c:v>
                </c:pt>
                <c:pt idx="234">
                  <c:v>50.42</c:v>
                </c:pt>
                <c:pt idx="235">
                  <c:v>50.42</c:v>
                </c:pt>
                <c:pt idx="236">
                  <c:v>50.42</c:v>
                </c:pt>
                <c:pt idx="237">
                  <c:v>50.44</c:v>
                </c:pt>
                <c:pt idx="238">
                  <c:v>50.42</c:v>
                </c:pt>
                <c:pt idx="239">
                  <c:v>50.47</c:v>
                </c:pt>
                <c:pt idx="240">
                  <c:v>50.46</c:v>
                </c:pt>
                <c:pt idx="241">
                  <c:v>50.41</c:v>
                </c:pt>
                <c:pt idx="242">
                  <c:v>50.46</c:v>
                </c:pt>
                <c:pt idx="243">
                  <c:v>50.46</c:v>
                </c:pt>
                <c:pt idx="244">
                  <c:v>50.47</c:v>
                </c:pt>
                <c:pt idx="245">
                  <c:v>50.44</c:v>
                </c:pt>
                <c:pt idx="246">
                  <c:v>50.47</c:v>
                </c:pt>
                <c:pt idx="247">
                  <c:v>50.42</c:v>
                </c:pt>
                <c:pt idx="248">
                  <c:v>50.44</c:v>
                </c:pt>
                <c:pt idx="249">
                  <c:v>50.45</c:v>
                </c:pt>
                <c:pt idx="250">
                  <c:v>50.47</c:v>
                </c:pt>
                <c:pt idx="251">
                  <c:v>50.47</c:v>
                </c:pt>
                <c:pt idx="252">
                  <c:v>50.45</c:v>
                </c:pt>
                <c:pt idx="253">
                  <c:v>50.45</c:v>
                </c:pt>
                <c:pt idx="254">
                  <c:v>50.43</c:v>
                </c:pt>
                <c:pt idx="255">
                  <c:v>50.43</c:v>
                </c:pt>
                <c:pt idx="256">
                  <c:v>50.45</c:v>
                </c:pt>
                <c:pt idx="257">
                  <c:v>50.46</c:v>
                </c:pt>
                <c:pt idx="258">
                  <c:v>50.43</c:v>
                </c:pt>
                <c:pt idx="259">
                  <c:v>50.44</c:v>
                </c:pt>
                <c:pt idx="260">
                  <c:v>50.47</c:v>
                </c:pt>
                <c:pt idx="261">
                  <c:v>50.46</c:v>
                </c:pt>
                <c:pt idx="262">
                  <c:v>50.43</c:v>
                </c:pt>
                <c:pt idx="263">
                  <c:v>50.44</c:v>
                </c:pt>
                <c:pt idx="264">
                  <c:v>50.43</c:v>
                </c:pt>
                <c:pt idx="265">
                  <c:v>50.38</c:v>
                </c:pt>
                <c:pt idx="266">
                  <c:v>50.43</c:v>
                </c:pt>
                <c:pt idx="267">
                  <c:v>50.41</c:v>
                </c:pt>
                <c:pt idx="268">
                  <c:v>50.38</c:v>
                </c:pt>
                <c:pt idx="269">
                  <c:v>50.42</c:v>
                </c:pt>
                <c:pt idx="270">
                  <c:v>50.44</c:v>
                </c:pt>
                <c:pt idx="271">
                  <c:v>50.38</c:v>
                </c:pt>
                <c:pt idx="272">
                  <c:v>50.44</c:v>
                </c:pt>
                <c:pt idx="273">
                  <c:v>50.44</c:v>
                </c:pt>
                <c:pt idx="274">
                  <c:v>50.45</c:v>
                </c:pt>
                <c:pt idx="275">
                  <c:v>50.45</c:v>
                </c:pt>
                <c:pt idx="276">
                  <c:v>50.45</c:v>
                </c:pt>
                <c:pt idx="277">
                  <c:v>50.43</c:v>
                </c:pt>
                <c:pt idx="278">
                  <c:v>50.49</c:v>
                </c:pt>
                <c:pt idx="279">
                  <c:v>50.45</c:v>
                </c:pt>
                <c:pt idx="280">
                  <c:v>50.5</c:v>
                </c:pt>
                <c:pt idx="281">
                  <c:v>50.46</c:v>
                </c:pt>
                <c:pt idx="282">
                  <c:v>50.51</c:v>
                </c:pt>
                <c:pt idx="283">
                  <c:v>50.46</c:v>
                </c:pt>
                <c:pt idx="284">
                  <c:v>50.49</c:v>
                </c:pt>
                <c:pt idx="285">
                  <c:v>50.5</c:v>
                </c:pt>
                <c:pt idx="286">
                  <c:v>50.5</c:v>
                </c:pt>
                <c:pt idx="287">
                  <c:v>50.47</c:v>
                </c:pt>
                <c:pt idx="288">
                  <c:v>50.49</c:v>
                </c:pt>
                <c:pt idx="289">
                  <c:v>50.49</c:v>
                </c:pt>
                <c:pt idx="290">
                  <c:v>50.49</c:v>
                </c:pt>
                <c:pt idx="291">
                  <c:v>50.52</c:v>
                </c:pt>
                <c:pt idx="292">
                  <c:v>50.51</c:v>
                </c:pt>
                <c:pt idx="293">
                  <c:v>50.49</c:v>
                </c:pt>
                <c:pt idx="294">
                  <c:v>50.49</c:v>
                </c:pt>
                <c:pt idx="295">
                  <c:v>50.49</c:v>
                </c:pt>
                <c:pt idx="296">
                  <c:v>50.5</c:v>
                </c:pt>
                <c:pt idx="297">
                  <c:v>50.47</c:v>
                </c:pt>
                <c:pt idx="298">
                  <c:v>50.47</c:v>
                </c:pt>
                <c:pt idx="299">
                  <c:v>50.51</c:v>
                </c:pt>
                <c:pt idx="300">
                  <c:v>50.46</c:v>
                </c:pt>
                <c:pt idx="301">
                  <c:v>50.46</c:v>
                </c:pt>
                <c:pt idx="302">
                  <c:v>50.48</c:v>
                </c:pt>
                <c:pt idx="303">
                  <c:v>50.4</c:v>
                </c:pt>
                <c:pt idx="304">
                  <c:v>50.45</c:v>
                </c:pt>
                <c:pt idx="305">
                  <c:v>50.43</c:v>
                </c:pt>
                <c:pt idx="306">
                  <c:v>50.45</c:v>
                </c:pt>
                <c:pt idx="307">
                  <c:v>50.41</c:v>
                </c:pt>
                <c:pt idx="308">
                  <c:v>50.46</c:v>
                </c:pt>
                <c:pt idx="309">
                  <c:v>50.37</c:v>
                </c:pt>
                <c:pt idx="310">
                  <c:v>50.45</c:v>
                </c:pt>
                <c:pt idx="311">
                  <c:v>50.39</c:v>
                </c:pt>
                <c:pt idx="312">
                  <c:v>50.47</c:v>
                </c:pt>
                <c:pt idx="313">
                  <c:v>50.36</c:v>
                </c:pt>
                <c:pt idx="314">
                  <c:v>50.53</c:v>
                </c:pt>
                <c:pt idx="315">
                  <c:v>50.37</c:v>
                </c:pt>
                <c:pt idx="316">
                  <c:v>50.5</c:v>
                </c:pt>
                <c:pt idx="317">
                  <c:v>50.37</c:v>
                </c:pt>
                <c:pt idx="318">
                  <c:v>50.52</c:v>
                </c:pt>
                <c:pt idx="319">
                  <c:v>50.38</c:v>
                </c:pt>
                <c:pt idx="320">
                  <c:v>50.6</c:v>
                </c:pt>
                <c:pt idx="321">
                  <c:v>50.43</c:v>
                </c:pt>
                <c:pt idx="322">
                  <c:v>50.62</c:v>
                </c:pt>
                <c:pt idx="323">
                  <c:v>50.45</c:v>
                </c:pt>
                <c:pt idx="324">
                  <c:v>50.65</c:v>
                </c:pt>
                <c:pt idx="325">
                  <c:v>50.49</c:v>
                </c:pt>
                <c:pt idx="326">
                  <c:v>50.66</c:v>
                </c:pt>
                <c:pt idx="327">
                  <c:v>50.54</c:v>
                </c:pt>
                <c:pt idx="328">
                  <c:v>50.69</c:v>
                </c:pt>
                <c:pt idx="329">
                  <c:v>50.58</c:v>
                </c:pt>
                <c:pt idx="330">
                  <c:v>50.74</c:v>
                </c:pt>
                <c:pt idx="331">
                  <c:v>50.69</c:v>
                </c:pt>
                <c:pt idx="332">
                  <c:v>50.78</c:v>
                </c:pt>
                <c:pt idx="333">
                  <c:v>50.76</c:v>
                </c:pt>
                <c:pt idx="334">
                  <c:v>50.79</c:v>
                </c:pt>
                <c:pt idx="335">
                  <c:v>50.9</c:v>
                </c:pt>
                <c:pt idx="336">
                  <c:v>50.98</c:v>
                </c:pt>
                <c:pt idx="337">
                  <c:v>51.16</c:v>
                </c:pt>
                <c:pt idx="338">
                  <c:v>51.26</c:v>
                </c:pt>
                <c:pt idx="339">
                  <c:v>51.48</c:v>
                </c:pt>
                <c:pt idx="340">
                  <c:v>51.76</c:v>
                </c:pt>
                <c:pt idx="341">
                  <c:v>51.98</c:v>
                </c:pt>
                <c:pt idx="342">
                  <c:v>52.27</c:v>
                </c:pt>
                <c:pt idx="343">
                  <c:v>52.57</c:v>
                </c:pt>
                <c:pt idx="344">
                  <c:v>52.9</c:v>
                </c:pt>
                <c:pt idx="345">
                  <c:v>53.21</c:v>
                </c:pt>
                <c:pt idx="346">
                  <c:v>53.5</c:v>
                </c:pt>
                <c:pt idx="347">
                  <c:v>53.87</c:v>
                </c:pt>
                <c:pt idx="348">
                  <c:v>54.17</c:v>
                </c:pt>
                <c:pt idx="349">
                  <c:v>54.51</c:v>
                </c:pt>
                <c:pt idx="350">
                  <c:v>54.83</c:v>
                </c:pt>
                <c:pt idx="351">
                  <c:v>55.17</c:v>
                </c:pt>
                <c:pt idx="352">
                  <c:v>55.45</c:v>
                </c:pt>
                <c:pt idx="353">
                  <c:v>55.85</c:v>
                </c:pt>
                <c:pt idx="354">
                  <c:v>56.18</c:v>
                </c:pt>
                <c:pt idx="355">
                  <c:v>56.5</c:v>
                </c:pt>
                <c:pt idx="356">
                  <c:v>56.81</c:v>
                </c:pt>
                <c:pt idx="357">
                  <c:v>57.17</c:v>
                </c:pt>
                <c:pt idx="358">
                  <c:v>57.52</c:v>
                </c:pt>
                <c:pt idx="359">
                  <c:v>57.85</c:v>
                </c:pt>
                <c:pt idx="360">
                  <c:v>58.2</c:v>
                </c:pt>
                <c:pt idx="361">
                  <c:v>58.5</c:v>
                </c:pt>
                <c:pt idx="362">
                  <c:v>58.84</c:v>
                </c:pt>
                <c:pt idx="363">
                  <c:v>59.15</c:v>
                </c:pt>
                <c:pt idx="364">
                  <c:v>59.48</c:v>
                </c:pt>
                <c:pt idx="365">
                  <c:v>59.79</c:v>
                </c:pt>
                <c:pt idx="366">
                  <c:v>60.08</c:v>
                </c:pt>
                <c:pt idx="367">
                  <c:v>60.39</c:v>
                </c:pt>
                <c:pt idx="368">
                  <c:v>60.66</c:v>
                </c:pt>
                <c:pt idx="369">
                  <c:v>61</c:v>
                </c:pt>
                <c:pt idx="370">
                  <c:v>61.25</c:v>
                </c:pt>
                <c:pt idx="371">
                  <c:v>61.58</c:v>
                </c:pt>
                <c:pt idx="372">
                  <c:v>61.87</c:v>
                </c:pt>
                <c:pt idx="373">
                  <c:v>62.19</c:v>
                </c:pt>
                <c:pt idx="374">
                  <c:v>62.46</c:v>
                </c:pt>
                <c:pt idx="375">
                  <c:v>62.76</c:v>
                </c:pt>
                <c:pt idx="376">
                  <c:v>63.01</c:v>
                </c:pt>
                <c:pt idx="377">
                  <c:v>63.3</c:v>
                </c:pt>
                <c:pt idx="378">
                  <c:v>63.6</c:v>
                </c:pt>
                <c:pt idx="379">
                  <c:v>63.82</c:v>
                </c:pt>
                <c:pt idx="380">
                  <c:v>64.13</c:v>
                </c:pt>
                <c:pt idx="381">
                  <c:v>64.39</c:v>
                </c:pt>
                <c:pt idx="382">
                  <c:v>64.61</c:v>
                </c:pt>
                <c:pt idx="383">
                  <c:v>64.88</c:v>
                </c:pt>
                <c:pt idx="384">
                  <c:v>65.069999999999993</c:v>
                </c:pt>
                <c:pt idx="385">
                  <c:v>65.3</c:v>
                </c:pt>
                <c:pt idx="386">
                  <c:v>65.540000000000006</c:v>
                </c:pt>
                <c:pt idx="387">
                  <c:v>65.48</c:v>
                </c:pt>
                <c:pt idx="388">
                  <c:v>65.62</c:v>
                </c:pt>
                <c:pt idx="389">
                  <c:v>65.83</c:v>
                </c:pt>
                <c:pt idx="390">
                  <c:v>65.89</c:v>
                </c:pt>
                <c:pt idx="391">
                  <c:v>65.989999999999995</c:v>
                </c:pt>
                <c:pt idx="392">
                  <c:v>65.98</c:v>
                </c:pt>
                <c:pt idx="393">
                  <c:v>66.040000000000006</c:v>
                </c:pt>
                <c:pt idx="394">
                  <c:v>66.010000000000005</c:v>
                </c:pt>
                <c:pt idx="395">
                  <c:v>65.97</c:v>
                </c:pt>
                <c:pt idx="396">
                  <c:v>65.84</c:v>
                </c:pt>
                <c:pt idx="397">
                  <c:v>65.760000000000005</c:v>
                </c:pt>
                <c:pt idx="398">
                  <c:v>65.56</c:v>
                </c:pt>
                <c:pt idx="399">
                  <c:v>65.39</c:v>
                </c:pt>
                <c:pt idx="400">
                  <c:v>65.28</c:v>
                </c:pt>
                <c:pt idx="401">
                  <c:v>65.12</c:v>
                </c:pt>
                <c:pt idx="402">
                  <c:v>65.08</c:v>
                </c:pt>
                <c:pt idx="403">
                  <c:v>64.959999999999994</c:v>
                </c:pt>
                <c:pt idx="404">
                  <c:v>64.849999999999994</c:v>
                </c:pt>
                <c:pt idx="405">
                  <c:v>64.709999999999994</c:v>
                </c:pt>
                <c:pt idx="406">
                  <c:v>64.63</c:v>
                </c:pt>
                <c:pt idx="407">
                  <c:v>64.510000000000005</c:v>
                </c:pt>
                <c:pt idx="408">
                  <c:v>64.48</c:v>
                </c:pt>
                <c:pt idx="409">
                  <c:v>64.41</c:v>
                </c:pt>
                <c:pt idx="410">
                  <c:v>64.45</c:v>
                </c:pt>
                <c:pt idx="411">
                  <c:v>64.459999999999994</c:v>
                </c:pt>
                <c:pt idx="412">
                  <c:v>64.47</c:v>
                </c:pt>
                <c:pt idx="413">
                  <c:v>64.52</c:v>
                </c:pt>
                <c:pt idx="414">
                  <c:v>64.569999999999993</c:v>
                </c:pt>
                <c:pt idx="415">
                  <c:v>64.62</c:v>
                </c:pt>
                <c:pt idx="416">
                  <c:v>64.709999999999994</c:v>
                </c:pt>
                <c:pt idx="417">
                  <c:v>64.72</c:v>
                </c:pt>
                <c:pt idx="418">
                  <c:v>64.819999999999993</c:v>
                </c:pt>
                <c:pt idx="419">
                  <c:v>64.88</c:v>
                </c:pt>
                <c:pt idx="420">
                  <c:v>64.97</c:v>
                </c:pt>
                <c:pt idx="421">
                  <c:v>64.92</c:v>
                </c:pt>
                <c:pt idx="422">
                  <c:v>65.08</c:v>
                </c:pt>
                <c:pt idx="423">
                  <c:v>65.040000000000006</c:v>
                </c:pt>
                <c:pt idx="424">
                  <c:v>65.12</c:v>
                </c:pt>
                <c:pt idx="425">
                  <c:v>65.16</c:v>
                </c:pt>
                <c:pt idx="426">
                  <c:v>65.27</c:v>
                </c:pt>
                <c:pt idx="427">
                  <c:v>65.31</c:v>
                </c:pt>
                <c:pt idx="428">
                  <c:v>65.36</c:v>
                </c:pt>
                <c:pt idx="429">
                  <c:v>65.38</c:v>
                </c:pt>
                <c:pt idx="430">
                  <c:v>65.44</c:v>
                </c:pt>
                <c:pt idx="431">
                  <c:v>65.459999999999994</c:v>
                </c:pt>
                <c:pt idx="432">
                  <c:v>65.48</c:v>
                </c:pt>
                <c:pt idx="433">
                  <c:v>65.459999999999994</c:v>
                </c:pt>
                <c:pt idx="434">
                  <c:v>65.5</c:v>
                </c:pt>
                <c:pt idx="435">
                  <c:v>65.5</c:v>
                </c:pt>
                <c:pt idx="436">
                  <c:v>65.459999999999994</c:v>
                </c:pt>
                <c:pt idx="437">
                  <c:v>65.5</c:v>
                </c:pt>
                <c:pt idx="438">
                  <c:v>65.5</c:v>
                </c:pt>
                <c:pt idx="439">
                  <c:v>65.5</c:v>
                </c:pt>
                <c:pt idx="440">
                  <c:v>65.47</c:v>
                </c:pt>
                <c:pt idx="441">
                  <c:v>65.459999999999994</c:v>
                </c:pt>
                <c:pt idx="442">
                  <c:v>65.45</c:v>
                </c:pt>
                <c:pt idx="443">
                  <c:v>65.38</c:v>
                </c:pt>
                <c:pt idx="444">
                  <c:v>65.38</c:v>
                </c:pt>
                <c:pt idx="445">
                  <c:v>65.33</c:v>
                </c:pt>
                <c:pt idx="446">
                  <c:v>65.349999999999994</c:v>
                </c:pt>
                <c:pt idx="447">
                  <c:v>65.33</c:v>
                </c:pt>
                <c:pt idx="448">
                  <c:v>65.31</c:v>
                </c:pt>
                <c:pt idx="449">
                  <c:v>65.239999999999995</c:v>
                </c:pt>
                <c:pt idx="450">
                  <c:v>65.27</c:v>
                </c:pt>
                <c:pt idx="451">
                  <c:v>65.239999999999995</c:v>
                </c:pt>
                <c:pt idx="452">
                  <c:v>65.239999999999995</c:v>
                </c:pt>
                <c:pt idx="453">
                  <c:v>65.239999999999995</c:v>
                </c:pt>
                <c:pt idx="454">
                  <c:v>65.22</c:v>
                </c:pt>
                <c:pt idx="455">
                  <c:v>65.23</c:v>
                </c:pt>
                <c:pt idx="456">
                  <c:v>65.209999999999994</c:v>
                </c:pt>
                <c:pt idx="457">
                  <c:v>65.209999999999994</c:v>
                </c:pt>
                <c:pt idx="458">
                  <c:v>65.19</c:v>
                </c:pt>
                <c:pt idx="459">
                  <c:v>65.19</c:v>
                </c:pt>
                <c:pt idx="460">
                  <c:v>65.22</c:v>
                </c:pt>
                <c:pt idx="461">
                  <c:v>65.23</c:v>
                </c:pt>
                <c:pt idx="462">
                  <c:v>65.19</c:v>
                </c:pt>
                <c:pt idx="463">
                  <c:v>65.209999999999994</c:v>
                </c:pt>
                <c:pt idx="464">
                  <c:v>65.239999999999995</c:v>
                </c:pt>
                <c:pt idx="465">
                  <c:v>65.22</c:v>
                </c:pt>
                <c:pt idx="466">
                  <c:v>65.209999999999994</c:v>
                </c:pt>
                <c:pt idx="467">
                  <c:v>65.23</c:v>
                </c:pt>
                <c:pt idx="468">
                  <c:v>65.260000000000005</c:v>
                </c:pt>
                <c:pt idx="469">
                  <c:v>65.209999999999994</c:v>
                </c:pt>
                <c:pt idx="470">
                  <c:v>65.209999999999994</c:v>
                </c:pt>
                <c:pt idx="471">
                  <c:v>65.25</c:v>
                </c:pt>
                <c:pt idx="472">
                  <c:v>65.25</c:v>
                </c:pt>
                <c:pt idx="473">
                  <c:v>65.239999999999995</c:v>
                </c:pt>
                <c:pt idx="474">
                  <c:v>65.239999999999995</c:v>
                </c:pt>
                <c:pt idx="475">
                  <c:v>65.27</c:v>
                </c:pt>
                <c:pt idx="476">
                  <c:v>65.22</c:v>
                </c:pt>
                <c:pt idx="477">
                  <c:v>65.260000000000005</c:v>
                </c:pt>
                <c:pt idx="478">
                  <c:v>65.290000000000006</c:v>
                </c:pt>
                <c:pt idx="479">
                  <c:v>65.28</c:v>
                </c:pt>
                <c:pt idx="480">
                  <c:v>65.27</c:v>
                </c:pt>
                <c:pt idx="481">
                  <c:v>65.290000000000006</c:v>
                </c:pt>
                <c:pt idx="482">
                  <c:v>65.27</c:v>
                </c:pt>
                <c:pt idx="483">
                  <c:v>65.27</c:v>
                </c:pt>
                <c:pt idx="484">
                  <c:v>65.27</c:v>
                </c:pt>
                <c:pt idx="485">
                  <c:v>65.27</c:v>
                </c:pt>
                <c:pt idx="486">
                  <c:v>65.22</c:v>
                </c:pt>
                <c:pt idx="487">
                  <c:v>65.260000000000005</c:v>
                </c:pt>
                <c:pt idx="488">
                  <c:v>65.27</c:v>
                </c:pt>
                <c:pt idx="489">
                  <c:v>65.209999999999994</c:v>
                </c:pt>
                <c:pt idx="490">
                  <c:v>65.27</c:v>
                </c:pt>
                <c:pt idx="491">
                  <c:v>65.209999999999994</c:v>
                </c:pt>
                <c:pt idx="492">
                  <c:v>65.27</c:v>
                </c:pt>
                <c:pt idx="493">
                  <c:v>65.25</c:v>
                </c:pt>
                <c:pt idx="494">
                  <c:v>65.25</c:v>
                </c:pt>
                <c:pt idx="495">
                  <c:v>65.23</c:v>
                </c:pt>
                <c:pt idx="496">
                  <c:v>65.23</c:v>
                </c:pt>
                <c:pt idx="497">
                  <c:v>65.260000000000005</c:v>
                </c:pt>
                <c:pt idx="498">
                  <c:v>65.25</c:v>
                </c:pt>
                <c:pt idx="499">
                  <c:v>65.239999999999995</c:v>
                </c:pt>
                <c:pt idx="500">
                  <c:v>65.27</c:v>
                </c:pt>
                <c:pt idx="501">
                  <c:v>65.27</c:v>
                </c:pt>
                <c:pt idx="502">
                  <c:v>65.260000000000005</c:v>
                </c:pt>
                <c:pt idx="503">
                  <c:v>65.28</c:v>
                </c:pt>
                <c:pt idx="504">
                  <c:v>65.25</c:v>
                </c:pt>
                <c:pt idx="505">
                  <c:v>65.27</c:v>
                </c:pt>
                <c:pt idx="506">
                  <c:v>65.260000000000005</c:v>
                </c:pt>
                <c:pt idx="507">
                  <c:v>65.23</c:v>
                </c:pt>
                <c:pt idx="508">
                  <c:v>65.27</c:v>
                </c:pt>
                <c:pt idx="509">
                  <c:v>65.27</c:v>
                </c:pt>
                <c:pt idx="510">
                  <c:v>65.22</c:v>
                </c:pt>
                <c:pt idx="511">
                  <c:v>65.25</c:v>
                </c:pt>
                <c:pt idx="512">
                  <c:v>65.23</c:v>
                </c:pt>
                <c:pt idx="513">
                  <c:v>65.27</c:v>
                </c:pt>
                <c:pt idx="514">
                  <c:v>65.239999999999995</c:v>
                </c:pt>
                <c:pt idx="515">
                  <c:v>65.290000000000006</c:v>
                </c:pt>
                <c:pt idx="516">
                  <c:v>65.27</c:v>
                </c:pt>
                <c:pt idx="517">
                  <c:v>65.31</c:v>
                </c:pt>
                <c:pt idx="518">
                  <c:v>65.239999999999995</c:v>
                </c:pt>
                <c:pt idx="519">
                  <c:v>65.25</c:v>
                </c:pt>
                <c:pt idx="520">
                  <c:v>65.239999999999995</c:v>
                </c:pt>
                <c:pt idx="521">
                  <c:v>65.28</c:v>
                </c:pt>
                <c:pt idx="522">
                  <c:v>65.239999999999995</c:v>
                </c:pt>
                <c:pt idx="523">
                  <c:v>65.25</c:v>
                </c:pt>
                <c:pt idx="524">
                  <c:v>65.22</c:v>
                </c:pt>
                <c:pt idx="525">
                  <c:v>65.23</c:v>
                </c:pt>
                <c:pt idx="526">
                  <c:v>65.27</c:v>
                </c:pt>
                <c:pt idx="527">
                  <c:v>65.27</c:v>
                </c:pt>
                <c:pt idx="528">
                  <c:v>65.25</c:v>
                </c:pt>
                <c:pt idx="529">
                  <c:v>65.290000000000006</c:v>
                </c:pt>
                <c:pt idx="530">
                  <c:v>65.290000000000006</c:v>
                </c:pt>
                <c:pt idx="531">
                  <c:v>65.31</c:v>
                </c:pt>
                <c:pt idx="532">
                  <c:v>65.31</c:v>
                </c:pt>
                <c:pt idx="533">
                  <c:v>65.319999999999993</c:v>
                </c:pt>
                <c:pt idx="534">
                  <c:v>65.3</c:v>
                </c:pt>
                <c:pt idx="535">
                  <c:v>65.3</c:v>
                </c:pt>
                <c:pt idx="536">
                  <c:v>65.33</c:v>
                </c:pt>
                <c:pt idx="537">
                  <c:v>65.319999999999993</c:v>
                </c:pt>
                <c:pt idx="538">
                  <c:v>65.260000000000005</c:v>
                </c:pt>
                <c:pt idx="539">
                  <c:v>65.28</c:v>
                </c:pt>
                <c:pt idx="540">
                  <c:v>65.27</c:v>
                </c:pt>
                <c:pt idx="541">
                  <c:v>65.25</c:v>
                </c:pt>
                <c:pt idx="542">
                  <c:v>65.290000000000006</c:v>
                </c:pt>
                <c:pt idx="543">
                  <c:v>65.27</c:v>
                </c:pt>
                <c:pt idx="544">
                  <c:v>65.27</c:v>
                </c:pt>
                <c:pt idx="545">
                  <c:v>65.25</c:v>
                </c:pt>
                <c:pt idx="546">
                  <c:v>65.260000000000005</c:v>
                </c:pt>
                <c:pt idx="547">
                  <c:v>65.31</c:v>
                </c:pt>
                <c:pt idx="548">
                  <c:v>65.290000000000006</c:v>
                </c:pt>
                <c:pt idx="549">
                  <c:v>65.290000000000006</c:v>
                </c:pt>
                <c:pt idx="550">
                  <c:v>65.28</c:v>
                </c:pt>
                <c:pt idx="551">
                  <c:v>65.260000000000005</c:v>
                </c:pt>
                <c:pt idx="552">
                  <c:v>65.25</c:v>
                </c:pt>
                <c:pt idx="553">
                  <c:v>65.23</c:v>
                </c:pt>
                <c:pt idx="554">
                  <c:v>65.27</c:v>
                </c:pt>
                <c:pt idx="555">
                  <c:v>65.23</c:v>
                </c:pt>
                <c:pt idx="556">
                  <c:v>65.239999999999995</c:v>
                </c:pt>
                <c:pt idx="557">
                  <c:v>65.239999999999995</c:v>
                </c:pt>
                <c:pt idx="558">
                  <c:v>65.260000000000005</c:v>
                </c:pt>
                <c:pt idx="559">
                  <c:v>65.23</c:v>
                </c:pt>
                <c:pt idx="560">
                  <c:v>65.260000000000005</c:v>
                </c:pt>
                <c:pt idx="561">
                  <c:v>65.25</c:v>
                </c:pt>
                <c:pt idx="562">
                  <c:v>65.260000000000005</c:v>
                </c:pt>
                <c:pt idx="563">
                  <c:v>65.23</c:v>
                </c:pt>
                <c:pt idx="564">
                  <c:v>65.27</c:v>
                </c:pt>
                <c:pt idx="565">
                  <c:v>65.209999999999994</c:v>
                </c:pt>
                <c:pt idx="566">
                  <c:v>65.239999999999995</c:v>
                </c:pt>
                <c:pt idx="567">
                  <c:v>65.290000000000006</c:v>
                </c:pt>
                <c:pt idx="568">
                  <c:v>65.22</c:v>
                </c:pt>
                <c:pt idx="569">
                  <c:v>65.239999999999995</c:v>
                </c:pt>
                <c:pt idx="570">
                  <c:v>65.239999999999995</c:v>
                </c:pt>
                <c:pt idx="571">
                  <c:v>65.260000000000005</c:v>
                </c:pt>
                <c:pt idx="572">
                  <c:v>65.239999999999995</c:v>
                </c:pt>
                <c:pt idx="573">
                  <c:v>65.25</c:v>
                </c:pt>
                <c:pt idx="574">
                  <c:v>65.25</c:v>
                </c:pt>
                <c:pt idx="575">
                  <c:v>65.239999999999995</c:v>
                </c:pt>
                <c:pt idx="576">
                  <c:v>65.25</c:v>
                </c:pt>
                <c:pt idx="577">
                  <c:v>65.239999999999995</c:v>
                </c:pt>
                <c:pt idx="578">
                  <c:v>65.22</c:v>
                </c:pt>
                <c:pt idx="579">
                  <c:v>65.239999999999995</c:v>
                </c:pt>
                <c:pt idx="580">
                  <c:v>65.25</c:v>
                </c:pt>
                <c:pt idx="581">
                  <c:v>65.25</c:v>
                </c:pt>
                <c:pt idx="582">
                  <c:v>65.209999999999994</c:v>
                </c:pt>
                <c:pt idx="583">
                  <c:v>65.290000000000006</c:v>
                </c:pt>
                <c:pt idx="584">
                  <c:v>65.209999999999994</c:v>
                </c:pt>
                <c:pt idx="585">
                  <c:v>65.27</c:v>
                </c:pt>
                <c:pt idx="586">
                  <c:v>65.22</c:v>
                </c:pt>
                <c:pt idx="587">
                  <c:v>65.25</c:v>
                </c:pt>
                <c:pt idx="588">
                  <c:v>65.3</c:v>
                </c:pt>
                <c:pt idx="589">
                  <c:v>65.27</c:v>
                </c:pt>
                <c:pt idx="590">
                  <c:v>65.27</c:v>
                </c:pt>
                <c:pt idx="591">
                  <c:v>65.27</c:v>
                </c:pt>
                <c:pt idx="592">
                  <c:v>65.27</c:v>
                </c:pt>
                <c:pt idx="593">
                  <c:v>65.27</c:v>
                </c:pt>
                <c:pt idx="594">
                  <c:v>65.28</c:v>
                </c:pt>
                <c:pt idx="595">
                  <c:v>65.290000000000006</c:v>
                </c:pt>
                <c:pt idx="596">
                  <c:v>65.27</c:v>
                </c:pt>
                <c:pt idx="597">
                  <c:v>65.3</c:v>
                </c:pt>
                <c:pt idx="598">
                  <c:v>65.25</c:v>
                </c:pt>
                <c:pt idx="599">
                  <c:v>65.290000000000006</c:v>
                </c:pt>
                <c:pt idx="600">
                  <c:v>65.290000000000006</c:v>
                </c:pt>
                <c:pt idx="601">
                  <c:v>65.25</c:v>
                </c:pt>
                <c:pt idx="602">
                  <c:v>65.290000000000006</c:v>
                </c:pt>
                <c:pt idx="603">
                  <c:v>65.28</c:v>
                </c:pt>
                <c:pt idx="604">
                  <c:v>65.290000000000006</c:v>
                </c:pt>
                <c:pt idx="605">
                  <c:v>65.25</c:v>
                </c:pt>
                <c:pt idx="606">
                  <c:v>65.31</c:v>
                </c:pt>
                <c:pt idx="607">
                  <c:v>65.28</c:v>
                </c:pt>
                <c:pt idx="608">
                  <c:v>65.27</c:v>
                </c:pt>
                <c:pt idx="609">
                  <c:v>65.27</c:v>
                </c:pt>
                <c:pt idx="610">
                  <c:v>65.260000000000005</c:v>
                </c:pt>
                <c:pt idx="611">
                  <c:v>65.239999999999995</c:v>
                </c:pt>
                <c:pt idx="612">
                  <c:v>65.28</c:v>
                </c:pt>
                <c:pt idx="613">
                  <c:v>65.23</c:v>
                </c:pt>
                <c:pt idx="614">
                  <c:v>65.25</c:v>
                </c:pt>
                <c:pt idx="615">
                  <c:v>65.28</c:v>
                </c:pt>
                <c:pt idx="616">
                  <c:v>65.260000000000005</c:v>
                </c:pt>
                <c:pt idx="617">
                  <c:v>65.239999999999995</c:v>
                </c:pt>
                <c:pt idx="618">
                  <c:v>65.25</c:v>
                </c:pt>
                <c:pt idx="619">
                  <c:v>65.28</c:v>
                </c:pt>
                <c:pt idx="620">
                  <c:v>65.25</c:v>
                </c:pt>
                <c:pt idx="621">
                  <c:v>65.290000000000006</c:v>
                </c:pt>
                <c:pt idx="622">
                  <c:v>65.27</c:v>
                </c:pt>
                <c:pt idx="623">
                  <c:v>65.27</c:v>
                </c:pt>
                <c:pt idx="624">
                  <c:v>65.25</c:v>
                </c:pt>
                <c:pt idx="625">
                  <c:v>65.27</c:v>
                </c:pt>
                <c:pt idx="626">
                  <c:v>65.23</c:v>
                </c:pt>
                <c:pt idx="627">
                  <c:v>65.23</c:v>
                </c:pt>
                <c:pt idx="628">
                  <c:v>65.27</c:v>
                </c:pt>
                <c:pt idx="629">
                  <c:v>65.25</c:v>
                </c:pt>
                <c:pt idx="630">
                  <c:v>65.260000000000005</c:v>
                </c:pt>
                <c:pt idx="631">
                  <c:v>65.25</c:v>
                </c:pt>
                <c:pt idx="632">
                  <c:v>65.3</c:v>
                </c:pt>
                <c:pt idx="633">
                  <c:v>65.290000000000006</c:v>
                </c:pt>
                <c:pt idx="634">
                  <c:v>65.27</c:v>
                </c:pt>
                <c:pt idx="635">
                  <c:v>65.239999999999995</c:v>
                </c:pt>
                <c:pt idx="636">
                  <c:v>65.260000000000005</c:v>
                </c:pt>
                <c:pt idx="637">
                  <c:v>65.239999999999995</c:v>
                </c:pt>
                <c:pt idx="638">
                  <c:v>65.23</c:v>
                </c:pt>
                <c:pt idx="639">
                  <c:v>65.25</c:v>
                </c:pt>
                <c:pt idx="640">
                  <c:v>65.260000000000005</c:v>
                </c:pt>
                <c:pt idx="641">
                  <c:v>65.260000000000005</c:v>
                </c:pt>
                <c:pt idx="642">
                  <c:v>65.2</c:v>
                </c:pt>
                <c:pt idx="643">
                  <c:v>65.27</c:v>
                </c:pt>
                <c:pt idx="644">
                  <c:v>65.2</c:v>
                </c:pt>
                <c:pt idx="645">
                  <c:v>65.23</c:v>
                </c:pt>
                <c:pt idx="646">
                  <c:v>65.209999999999994</c:v>
                </c:pt>
                <c:pt idx="647">
                  <c:v>65.25</c:v>
                </c:pt>
                <c:pt idx="648">
                  <c:v>65.239999999999995</c:v>
                </c:pt>
                <c:pt idx="649">
                  <c:v>65.25</c:v>
                </c:pt>
                <c:pt idx="650">
                  <c:v>65.209999999999994</c:v>
                </c:pt>
                <c:pt idx="651">
                  <c:v>65.260000000000005</c:v>
                </c:pt>
                <c:pt idx="652">
                  <c:v>65.25</c:v>
                </c:pt>
                <c:pt idx="653">
                  <c:v>65.25</c:v>
                </c:pt>
                <c:pt idx="654">
                  <c:v>65.27</c:v>
                </c:pt>
                <c:pt idx="655">
                  <c:v>65.22</c:v>
                </c:pt>
                <c:pt idx="656">
                  <c:v>65.260000000000005</c:v>
                </c:pt>
                <c:pt idx="657">
                  <c:v>65.260000000000005</c:v>
                </c:pt>
                <c:pt idx="658">
                  <c:v>65.27</c:v>
                </c:pt>
                <c:pt idx="659">
                  <c:v>65.239999999999995</c:v>
                </c:pt>
                <c:pt idx="660">
                  <c:v>65.25</c:v>
                </c:pt>
                <c:pt idx="661">
                  <c:v>65.23</c:v>
                </c:pt>
                <c:pt idx="662">
                  <c:v>65.290000000000006</c:v>
                </c:pt>
                <c:pt idx="663">
                  <c:v>65.319999999999993</c:v>
                </c:pt>
                <c:pt idx="664">
                  <c:v>65.33</c:v>
                </c:pt>
                <c:pt idx="665">
                  <c:v>65.33</c:v>
                </c:pt>
                <c:pt idx="666">
                  <c:v>65.400000000000006</c:v>
                </c:pt>
                <c:pt idx="667">
                  <c:v>65.41</c:v>
                </c:pt>
                <c:pt idx="668">
                  <c:v>65.540000000000006</c:v>
                </c:pt>
                <c:pt idx="669">
                  <c:v>65.66</c:v>
                </c:pt>
                <c:pt idx="670">
                  <c:v>65.8</c:v>
                </c:pt>
                <c:pt idx="671">
                  <c:v>65.94</c:v>
                </c:pt>
                <c:pt idx="672">
                  <c:v>66.12</c:v>
                </c:pt>
                <c:pt idx="673">
                  <c:v>66.31</c:v>
                </c:pt>
                <c:pt idx="674">
                  <c:v>66.5</c:v>
                </c:pt>
                <c:pt idx="675">
                  <c:v>66.72</c:v>
                </c:pt>
                <c:pt idx="676">
                  <c:v>66.94</c:v>
                </c:pt>
                <c:pt idx="677">
                  <c:v>67.16</c:v>
                </c:pt>
                <c:pt idx="678">
                  <c:v>67.37</c:v>
                </c:pt>
                <c:pt idx="679">
                  <c:v>67.569999999999993</c:v>
                </c:pt>
                <c:pt idx="680">
                  <c:v>67.78</c:v>
                </c:pt>
                <c:pt idx="681">
                  <c:v>68.05</c:v>
                </c:pt>
                <c:pt idx="682">
                  <c:v>68.27</c:v>
                </c:pt>
                <c:pt idx="683">
                  <c:v>68.5</c:v>
                </c:pt>
                <c:pt idx="684">
                  <c:v>68.7</c:v>
                </c:pt>
                <c:pt idx="685">
                  <c:v>68.95</c:v>
                </c:pt>
                <c:pt idx="686">
                  <c:v>69.17</c:v>
                </c:pt>
                <c:pt idx="687">
                  <c:v>69.349999999999994</c:v>
                </c:pt>
                <c:pt idx="688">
                  <c:v>69.61</c:v>
                </c:pt>
                <c:pt idx="689">
                  <c:v>69.739999999999995</c:v>
                </c:pt>
                <c:pt idx="690">
                  <c:v>70.010000000000005</c:v>
                </c:pt>
                <c:pt idx="691">
                  <c:v>70.17</c:v>
                </c:pt>
                <c:pt idx="692">
                  <c:v>70.36</c:v>
                </c:pt>
                <c:pt idx="693">
                  <c:v>70.540000000000006</c:v>
                </c:pt>
                <c:pt idx="694">
                  <c:v>70.709999999999994</c:v>
                </c:pt>
                <c:pt idx="695">
                  <c:v>70.87</c:v>
                </c:pt>
                <c:pt idx="696">
                  <c:v>71</c:v>
                </c:pt>
                <c:pt idx="697">
                  <c:v>71.17</c:v>
                </c:pt>
                <c:pt idx="698">
                  <c:v>71.25</c:v>
                </c:pt>
                <c:pt idx="699">
                  <c:v>71.42</c:v>
                </c:pt>
                <c:pt idx="700">
                  <c:v>71.56</c:v>
                </c:pt>
                <c:pt idx="701">
                  <c:v>71.64</c:v>
                </c:pt>
                <c:pt idx="702">
                  <c:v>71.77</c:v>
                </c:pt>
                <c:pt idx="703">
                  <c:v>71.91</c:v>
                </c:pt>
                <c:pt idx="704">
                  <c:v>72.02</c:v>
                </c:pt>
                <c:pt idx="705">
                  <c:v>72.180000000000007</c:v>
                </c:pt>
                <c:pt idx="706">
                  <c:v>72.319999999999993</c:v>
                </c:pt>
                <c:pt idx="707">
                  <c:v>72.45</c:v>
                </c:pt>
                <c:pt idx="708">
                  <c:v>72.56</c:v>
                </c:pt>
                <c:pt idx="709">
                  <c:v>72.69</c:v>
                </c:pt>
                <c:pt idx="710">
                  <c:v>72.83</c:v>
                </c:pt>
                <c:pt idx="711">
                  <c:v>72.930000000000007</c:v>
                </c:pt>
                <c:pt idx="712">
                  <c:v>73.069999999999993</c:v>
                </c:pt>
                <c:pt idx="713">
                  <c:v>73.19</c:v>
                </c:pt>
                <c:pt idx="714">
                  <c:v>73.28</c:v>
                </c:pt>
                <c:pt idx="715">
                  <c:v>73.41</c:v>
                </c:pt>
                <c:pt idx="716">
                  <c:v>73.53</c:v>
                </c:pt>
                <c:pt idx="717">
                  <c:v>73.62</c:v>
                </c:pt>
                <c:pt idx="718">
                  <c:v>73.73</c:v>
                </c:pt>
                <c:pt idx="719">
                  <c:v>73.819999999999993</c:v>
                </c:pt>
                <c:pt idx="720">
                  <c:v>73.88</c:v>
                </c:pt>
                <c:pt idx="721">
                  <c:v>74.02</c:v>
                </c:pt>
                <c:pt idx="722">
                  <c:v>74.13</c:v>
                </c:pt>
                <c:pt idx="723">
                  <c:v>74.19</c:v>
                </c:pt>
                <c:pt idx="724">
                  <c:v>74.31</c:v>
                </c:pt>
                <c:pt idx="725">
                  <c:v>74.42</c:v>
                </c:pt>
                <c:pt idx="726">
                  <c:v>74.489999999999995</c:v>
                </c:pt>
                <c:pt idx="727">
                  <c:v>74.62</c:v>
                </c:pt>
                <c:pt idx="728">
                  <c:v>74.69</c:v>
                </c:pt>
                <c:pt idx="729">
                  <c:v>74.790000000000006</c:v>
                </c:pt>
                <c:pt idx="730">
                  <c:v>74.86</c:v>
                </c:pt>
                <c:pt idx="731">
                  <c:v>74.959999999999994</c:v>
                </c:pt>
                <c:pt idx="732">
                  <c:v>75.040000000000006</c:v>
                </c:pt>
                <c:pt idx="733">
                  <c:v>75.12</c:v>
                </c:pt>
                <c:pt idx="734">
                  <c:v>75.17</c:v>
                </c:pt>
                <c:pt idx="735">
                  <c:v>75.3</c:v>
                </c:pt>
                <c:pt idx="736">
                  <c:v>75.37</c:v>
                </c:pt>
                <c:pt idx="737">
                  <c:v>75.44</c:v>
                </c:pt>
                <c:pt idx="738">
                  <c:v>75.569999999999993</c:v>
                </c:pt>
                <c:pt idx="739">
                  <c:v>75.62</c:v>
                </c:pt>
                <c:pt idx="740">
                  <c:v>75.709999999999994</c:v>
                </c:pt>
                <c:pt idx="741">
                  <c:v>75.790000000000006</c:v>
                </c:pt>
                <c:pt idx="742">
                  <c:v>75.89</c:v>
                </c:pt>
                <c:pt idx="743">
                  <c:v>75.98</c:v>
                </c:pt>
                <c:pt idx="744">
                  <c:v>76.06</c:v>
                </c:pt>
                <c:pt idx="745">
                  <c:v>76.12</c:v>
                </c:pt>
                <c:pt idx="746">
                  <c:v>76.209999999999994</c:v>
                </c:pt>
                <c:pt idx="747">
                  <c:v>76.31</c:v>
                </c:pt>
                <c:pt idx="748">
                  <c:v>76.34</c:v>
                </c:pt>
                <c:pt idx="749">
                  <c:v>76.44</c:v>
                </c:pt>
                <c:pt idx="750">
                  <c:v>76.489999999999995</c:v>
                </c:pt>
                <c:pt idx="751">
                  <c:v>76.599999999999994</c:v>
                </c:pt>
                <c:pt idx="752">
                  <c:v>76.680000000000007</c:v>
                </c:pt>
                <c:pt idx="753">
                  <c:v>76.69</c:v>
                </c:pt>
                <c:pt idx="754">
                  <c:v>76.83</c:v>
                </c:pt>
                <c:pt idx="755">
                  <c:v>76.89</c:v>
                </c:pt>
                <c:pt idx="756">
                  <c:v>76.959999999999994</c:v>
                </c:pt>
                <c:pt idx="757">
                  <c:v>77.02</c:v>
                </c:pt>
                <c:pt idx="758">
                  <c:v>77.12</c:v>
                </c:pt>
                <c:pt idx="759">
                  <c:v>77.16</c:v>
                </c:pt>
                <c:pt idx="760">
                  <c:v>77.27</c:v>
                </c:pt>
                <c:pt idx="761">
                  <c:v>77.33</c:v>
                </c:pt>
                <c:pt idx="762">
                  <c:v>77.41</c:v>
                </c:pt>
                <c:pt idx="763">
                  <c:v>77.45</c:v>
                </c:pt>
                <c:pt idx="764">
                  <c:v>77.540000000000006</c:v>
                </c:pt>
                <c:pt idx="765">
                  <c:v>77.63</c:v>
                </c:pt>
                <c:pt idx="766">
                  <c:v>77.66</c:v>
                </c:pt>
                <c:pt idx="767">
                  <c:v>77.75</c:v>
                </c:pt>
                <c:pt idx="768">
                  <c:v>77.849999999999994</c:v>
                </c:pt>
                <c:pt idx="769">
                  <c:v>77.95</c:v>
                </c:pt>
                <c:pt idx="770">
                  <c:v>78.02</c:v>
                </c:pt>
                <c:pt idx="771">
                  <c:v>78.099999999999994</c:v>
                </c:pt>
                <c:pt idx="772">
                  <c:v>78.14</c:v>
                </c:pt>
                <c:pt idx="773">
                  <c:v>78.25</c:v>
                </c:pt>
                <c:pt idx="774">
                  <c:v>78.37</c:v>
                </c:pt>
                <c:pt idx="775">
                  <c:v>78.430000000000007</c:v>
                </c:pt>
                <c:pt idx="776">
                  <c:v>78.540000000000006</c:v>
                </c:pt>
                <c:pt idx="777">
                  <c:v>78.62</c:v>
                </c:pt>
                <c:pt idx="778">
                  <c:v>78.709999999999994</c:v>
                </c:pt>
                <c:pt idx="779">
                  <c:v>78.78</c:v>
                </c:pt>
                <c:pt idx="780">
                  <c:v>78.930000000000007</c:v>
                </c:pt>
                <c:pt idx="781">
                  <c:v>78.989999999999995</c:v>
                </c:pt>
                <c:pt idx="782">
                  <c:v>79.09</c:v>
                </c:pt>
                <c:pt idx="783">
                  <c:v>79.180000000000007</c:v>
                </c:pt>
                <c:pt idx="784">
                  <c:v>79.239999999999995</c:v>
                </c:pt>
                <c:pt idx="785">
                  <c:v>79.349999999999994</c:v>
                </c:pt>
                <c:pt idx="786">
                  <c:v>79.430000000000007</c:v>
                </c:pt>
                <c:pt idx="787">
                  <c:v>79.489999999999995</c:v>
                </c:pt>
                <c:pt idx="788">
                  <c:v>79.62</c:v>
                </c:pt>
                <c:pt idx="789">
                  <c:v>79.72</c:v>
                </c:pt>
                <c:pt idx="790">
                  <c:v>79.78</c:v>
                </c:pt>
                <c:pt idx="791">
                  <c:v>79.87</c:v>
                </c:pt>
                <c:pt idx="792">
                  <c:v>79.95</c:v>
                </c:pt>
                <c:pt idx="793">
                  <c:v>80.03</c:v>
                </c:pt>
                <c:pt idx="794">
                  <c:v>80.180000000000007</c:v>
                </c:pt>
                <c:pt idx="795">
                  <c:v>80.239999999999995</c:v>
                </c:pt>
                <c:pt idx="796">
                  <c:v>80.319999999999993</c:v>
                </c:pt>
                <c:pt idx="797">
                  <c:v>80.37</c:v>
                </c:pt>
                <c:pt idx="798">
                  <c:v>80.489999999999995</c:v>
                </c:pt>
                <c:pt idx="799">
                  <c:v>80.5</c:v>
                </c:pt>
                <c:pt idx="800">
                  <c:v>80.55</c:v>
                </c:pt>
                <c:pt idx="801">
                  <c:v>80.61</c:v>
                </c:pt>
                <c:pt idx="802">
                  <c:v>80.650000000000006</c:v>
                </c:pt>
                <c:pt idx="803">
                  <c:v>80.62</c:v>
                </c:pt>
                <c:pt idx="804">
                  <c:v>80.64</c:v>
                </c:pt>
                <c:pt idx="805">
                  <c:v>80.63</c:v>
                </c:pt>
                <c:pt idx="806">
                  <c:v>80.599999999999994</c:v>
                </c:pt>
                <c:pt idx="807">
                  <c:v>80.540000000000006</c:v>
                </c:pt>
                <c:pt idx="808">
                  <c:v>80.510000000000005</c:v>
                </c:pt>
                <c:pt idx="809">
                  <c:v>80.430000000000007</c:v>
                </c:pt>
                <c:pt idx="810">
                  <c:v>80.319999999999993</c:v>
                </c:pt>
                <c:pt idx="811">
                  <c:v>80.3</c:v>
                </c:pt>
                <c:pt idx="812">
                  <c:v>80.180000000000007</c:v>
                </c:pt>
                <c:pt idx="813">
                  <c:v>80.14</c:v>
                </c:pt>
                <c:pt idx="814">
                  <c:v>80.099999999999994</c:v>
                </c:pt>
                <c:pt idx="815">
                  <c:v>80.010000000000005</c:v>
                </c:pt>
                <c:pt idx="816">
                  <c:v>79.959999999999994</c:v>
                </c:pt>
                <c:pt idx="817">
                  <c:v>79.86</c:v>
                </c:pt>
                <c:pt idx="818">
                  <c:v>79.88</c:v>
                </c:pt>
                <c:pt idx="819">
                  <c:v>79.86</c:v>
                </c:pt>
                <c:pt idx="820">
                  <c:v>79.84</c:v>
                </c:pt>
                <c:pt idx="821">
                  <c:v>79.83</c:v>
                </c:pt>
                <c:pt idx="822">
                  <c:v>79.78</c:v>
                </c:pt>
                <c:pt idx="823">
                  <c:v>79.86</c:v>
                </c:pt>
                <c:pt idx="824">
                  <c:v>79.84</c:v>
                </c:pt>
                <c:pt idx="825">
                  <c:v>79.89</c:v>
                </c:pt>
                <c:pt idx="826">
                  <c:v>79.94</c:v>
                </c:pt>
                <c:pt idx="827">
                  <c:v>79.989999999999995</c:v>
                </c:pt>
                <c:pt idx="828">
                  <c:v>80.040000000000006</c:v>
                </c:pt>
                <c:pt idx="829">
                  <c:v>80.099999999999994</c:v>
                </c:pt>
                <c:pt idx="830">
                  <c:v>80.17</c:v>
                </c:pt>
                <c:pt idx="831">
                  <c:v>80.19</c:v>
                </c:pt>
                <c:pt idx="832">
                  <c:v>80.28</c:v>
                </c:pt>
                <c:pt idx="833">
                  <c:v>80.3</c:v>
                </c:pt>
                <c:pt idx="834">
                  <c:v>80.34</c:v>
                </c:pt>
                <c:pt idx="835">
                  <c:v>80.38</c:v>
                </c:pt>
                <c:pt idx="836">
                  <c:v>80.41</c:v>
                </c:pt>
                <c:pt idx="837">
                  <c:v>80.400000000000006</c:v>
                </c:pt>
                <c:pt idx="838">
                  <c:v>80.459999999999994</c:v>
                </c:pt>
                <c:pt idx="839">
                  <c:v>80.5</c:v>
                </c:pt>
                <c:pt idx="840">
                  <c:v>80.489999999999995</c:v>
                </c:pt>
                <c:pt idx="841">
                  <c:v>80.52</c:v>
                </c:pt>
                <c:pt idx="842">
                  <c:v>80.52</c:v>
                </c:pt>
                <c:pt idx="843">
                  <c:v>80.459999999999994</c:v>
                </c:pt>
                <c:pt idx="844">
                  <c:v>80.47</c:v>
                </c:pt>
                <c:pt idx="845">
                  <c:v>80.430000000000007</c:v>
                </c:pt>
                <c:pt idx="846">
                  <c:v>80.41</c:v>
                </c:pt>
                <c:pt idx="847">
                  <c:v>80.39</c:v>
                </c:pt>
                <c:pt idx="848">
                  <c:v>80.33</c:v>
                </c:pt>
                <c:pt idx="849">
                  <c:v>80.260000000000005</c:v>
                </c:pt>
                <c:pt idx="850">
                  <c:v>80.27</c:v>
                </c:pt>
                <c:pt idx="851">
                  <c:v>80.22</c:v>
                </c:pt>
                <c:pt idx="852">
                  <c:v>80.209999999999994</c:v>
                </c:pt>
                <c:pt idx="853">
                  <c:v>80.13</c:v>
                </c:pt>
                <c:pt idx="854">
                  <c:v>80.11</c:v>
                </c:pt>
                <c:pt idx="855">
                  <c:v>80.099999999999994</c:v>
                </c:pt>
                <c:pt idx="856">
                  <c:v>80.040000000000006</c:v>
                </c:pt>
                <c:pt idx="857">
                  <c:v>80.069999999999993</c:v>
                </c:pt>
                <c:pt idx="858">
                  <c:v>80.02</c:v>
                </c:pt>
                <c:pt idx="859">
                  <c:v>80.06</c:v>
                </c:pt>
                <c:pt idx="860">
                  <c:v>80.040000000000006</c:v>
                </c:pt>
                <c:pt idx="861">
                  <c:v>80.03</c:v>
                </c:pt>
                <c:pt idx="862">
                  <c:v>80.040000000000006</c:v>
                </c:pt>
                <c:pt idx="863">
                  <c:v>80.06</c:v>
                </c:pt>
                <c:pt idx="864">
                  <c:v>80.11</c:v>
                </c:pt>
                <c:pt idx="865">
                  <c:v>80.11</c:v>
                </c:pt>
                <c:pt idx="866">
                  <c:v>80.16</c:v>
                </c:pt>
                <c:pt idx="867">
                  <c:v>80.13</c:v>
                </c:pt>
                <c:pt idx="868">
                  <c:v>80.14</c:v>
                </c:pt>
                <c:pt idx="869">
                  <c:v>80.25</c:v>
                </c:pt>
                <c:pt idx="870">
                  <c:v>80.23</c:v>
                </c:pt>
                <c:pt idx="871">
                  <c:v>80.239999999999995</c:v>
                </c:pt>
                <c:pt idx="872">
                  <c:v>80.33</c:v>
                </c:pt>
                <c:pt idx="873">
                  <c:v>80.349999999999994</c:v>
                </c:pt>
                <c:pt idx="874">
                  <c:v>80.349999999999994</c:v>
                </c:pt>
                <c:pt idx="875">
                  <c:v>80.36</c:v>
                </c:pt>
                <c:pt idx="876">
                  <c:v>80.37</c:v>
                </c:pt>
                <c:pt idx="877">
                  <c:v>80.37</c:v>
                </c:pt>
                <c:pt idx="878">
                  <c:v>80.430000000000007</c:v>
                </c:pt>
                <c:pt idx="879">
                  <c:v>80.42</c:v>
                </c:pt>
                <c:pt idx="880">
                  <c:v>80.39</c:v>
                </c:pt>
                <c:pt idx="881">
                  <c:v>80.37</c:v>
                </c:pt>
                <c:pt idx="882">
                  <c:v>80.349999999999994</c:v>
                </c:pt>
                <c:pt idx="883">
                  <c:v>80.34</c:v>
                </c:pt>
                <c:pt idx="884">
                  <c:v>80.31</c:v>
                </c:pt>
                <c:pt idx="885">
                  <c:v>80.319999999999993</c:v>
                </c:pt>
                <c:pt idx="886">
                  <c:v>80.25</c:v>
                </c:pt>
                <c:pt idx="887">
                  <c:v>80.22</c:v>
                </c:pt>
                <c:pt idx="888">
                  <c:v>80.260000000000005</c:v>
                </c:pt>
                <c:pt idx="889">
                  <c:v>80.239999999999995</c:v>
                </c:pt>
                <c:pt idx="890">
                  <c:v>80.22</c:v>
                </c:pt>
                <c:pt idx="891">
                  <c:v>80.180000000000007</c:v>
                </c:pt>
                <c:pt idx="892">
                  <c:v>80.16</c:v>
                </c:pt>
                <c:pt idx="893">
                  <c:v>80.19</c:v>
                </c:pt>
                <c:pt idx="894">
                  <c:v>80.11</c:v>
                </c:pt>
                <c:pt idx="895">
                  <c:v>80.13</c:v>
                </c:pt>
                <c:pt idx="896">
                  <c:v>80.09</c:v>
                </c:pt>
                <c:pt idx="897">
                  <c:v>80.14</c:v>
                </c:pt>
                <c:pt idx="898">
                  <c:v>80.12</c:v>
                </c:pt>
                <c:pt idx="899">
                  <c:v>80.16</c:v>
                </c:pt>
                <c:pt idx="900">
                  <c:v>80.14</c:v>
                </c:pt>
                <c:pt idx="901">
                  <c:v>80.19</c:v>
                </c:pt>
                <c:pt idx="902">
                  <c:v>80.2</c:v>
                </c:pt>
                <c:pt idx="903">
                  <c:v>80.2</c:v>
                </c:pt>
                <c:pt idx="904">
                  <c:v>80.25</c:v>
                </c:pt>
                <c:pt idx="905">
                  <c:v>80.209999999999994</c:v>
                </c:pt>
                <c:pt idx="906">
                  <c:v>80.25</c:v>
                </c:pt>
                <c:pt idx="907">
                  <c:v>80.239999999999995</c:v>
                </c:pt>
                <c:pt idx="908">
                  <c:v>80.25</c:v>
                </c:pt>
                <c:pt idx="909">
                  <c:v>80.28</c:v>
                </c:pt>
                <c:pt idx="910">
                  <c:v>80.27</c:v>
                </c:pt>
                <c:pt idx="911">
                  <c:v>80.319999999999993</c:v>
                </c:pt>
                <c:pt idx="912">
                  <c:v>80.33</c:v>
                </c:pt>
                <c:pt idx="913">
                  <c:v>80.3</c:v>
                </c:pt>
                <c:pt idx="914">
                  <c:v>80.349999999999994</c:v>
                </c:pt>
                <c:pt idx="915">
                  <c:v>80.36</c:v>
                </c:pt>
                <c:pt idx="916">
                  <c:v>80.349999999999994</c:v>
                </c:pt>
                <c:pt idx="917">
                  <c:v>80.36</c:v>
                </c:pt>
                <c:pt idx="918">
                  <c:v>80.349999999999994</c:v>
                </c:pt>
                <c:pt idx="919">
                  <c:v>80.3</c:v>
                </c:pt>
                <c:pt idx="920">
                  <c:v>80.3</c:v>
                </c:pt>
                <c:pt idx="921">
                  <c:v>80.319999999999993</c:v>
                </c:pt>
                <c:pt idx="922">
                  <c:v>80.3</c:v>
                </c:pt>
                <c:pt idx="923">
                  <c:v>80.28</c:v>
                </c:pt>
                <c:pt idx="924">
                  <c:v>80.260000000000005</c:v>
                </c:pt>
                <c:pt idx="925">
                  <c:v>80.25</c:v>
                </c:pt>
                <c:pt idx="926">
                  <c:v>80.239999999999995</c:v>
                </c:pt>
                <c:pt idx="927">
                  <c:v>80.2</c:v>
                </c:pt>
                <c:pt idx="928">
                  <c:v>80.209999999999994</c:v>
                </c:pt>
                <c:pt idx="929">
                  <c:v>80.19</c:v>
                </c:pt>
                <c:pt idx="930">
                  <c:v>80.209999999999994</c:v>
                </c:pt>
                <c:pt idx="931">
                  <c:v>80.2</c:v>
                </c:pt>
                <c:pt idx="932">
                  <c:v>80.150000000000006</c:v>
                </c:pt>
                <c:pt idx="933">
                  <c:v>80.16</c:v>
                </c:pt>
                <c:pt idx="934">
                  <c:v>80.17</c:v>
                </c:pt>
                <c:pt idx="935">
                  <c:v>80.17</c:v>
                </c:pt>
                <c:pt idx="936">
                  <c:v>80.180000000000007</c:v>
                </c:pt>
                <c:pt idx="937">
                  <c:v>80.19</c:v>
                </c:pt>
                <c:pt idx="938">
                  <c:v>80.13</c:v>
                </c:pt>
                <c:pt idx="939">
                  <c:v>80.17</c:v>
                </c:pt>
                <c:pt idx="940">
                  <c:v>80.16</c:v>
                </c:pt>
                <c:pt idx="941">
                  <c:v>80.180000000000007</c:v>
                </c:pt>
                <c:pt idx="942">
                  <c:v>80.19</c:v>
                </c:pt>
                <c:pt idx="943">
                  <c:v>80.23</c:v>
                </c:pt>
                <c:pt idx="944">
                  <c:v>80.180000000000007</c:v>
                </c:pt>
                <c:pt idx="945">
                  <c:v>80.19</c:v>
                </c:pt>
                <c:pt idx="946">
                  <c:v>80.260000000000005</c:v>
                </c:pt>
                <c:pt idx="947">
                  <c:v>80.260000000000005</c:v>
                </c:pt>
                <c:pt idx="948">
                  <c:v>80.28</c:v>
                </c:pt>
                <c:pt idx="949">
                  <c:v>80.260000000000005</c:v>
                </c:pt>
                <c:pt idx="950">
                  <c:v>80.31</c:v>
                </c:pt>
                <c:pt idx="951">
                  <c:v>80.25</c:v>
                </c:pt>
                <c:pt idx="952">
                  <c:v>80.34</c:v>
                </c:pt>
                <c:pt idx="953">
                  <c:v>80.28</c:v>
                </c:pt>
                <c:pt idx="954">
                  <c:v>80.319999999999993</c:v>
                </c:pt>
                <c:pt idx="955">
                  <c:v>80.3</c:v>
                </c:pt>
                <c:pt idx="956">
                  <c:v>80.34</c:v>
                </c:pt>
                <c:pt idx="957">
                  <c:v>80.319999999999993</c:v>
                </c:pt>
                <c:pt idx="958">
                  <c:v>80.31</c:v>
                </c:pt>
                <c:pt idx="959">
                  <c:v>80.34</c:v>
                </c:pt>
                <c:pt idx="960">
                  <c:v>80.319999999999993</c:v>
                </c:pt>
                <c:pt idx="961">
                  <c:v>80.319999999999993</c:v>
                </c:pt>
                <c:pt idx="962">
                  <c:v>80.260000000000005</c:v>
                </c:pt>
                <c:pt idx="963">
                  <c:v>80.25</c:v>
                </c:pt>
                <c:pt idx="964">
                  <c:v>80.260000000000005</c:v>
                </c:pt>
                <c:pt idx="965">
                  <c:v>80.260000000000005</c:v>
                </c:pt>
                <c:pt idx="966">
                  <c:v>80.260000000000005</c:v>
                </c:pt>
                <c:pt idx="967">
                  <c:v>80.260000000000005</c:v>
                </c:pt>
                <c:pt idx="968">
                  <c:v>80.260000000000005</c:v>
                </c:pt>
                <c:pt idx="969">
                  <c:v>80.260000000000005</c:v>
                </c:pt>
                <c:pt idx="970">
                  <c:v>80.260000000000005</c:v>
                </c:pt>
                <c:pt idx="971">
                  <c:v>80.260000000000005</c:v>
                </c:pt>
                <c:pt idx="972">
                  <c:v>80.27</c:v>
                </c:pt>
                <c:pt idx="973">
                  <c:v>80.28</c:v>
                </c:pt>
                <c:pt idx="974">
                  <c:v>80.290000000000006</c:v>
                </c:pt>
                <c:pt idx="975">
                  <c:v>80.28</c:v>
                </c:pt>
                <c:pt idx="976">
                  <c:v>80.27</c:v>
                </c:pt>
                <c:pt idx="977">
                  <c:v>80.27</c:v>
                </c:pt>
                <c:pt idx="978">
                  <c:v>80.27</c:v>
                </c:pt>
                <c:pt idx="979">
                  <c:v>80.28</c:v>
                </c:pt>
                <c:pt idx="980">
                  <c:v>80.27</c:v>
                </c:pt>
                <c:pt idx="981">
                  <c:v>80.239999999999995</c:v>
                </c:pt>
                <c:pt idx="982">
                  <c:v>80.28</c:v>
                </c:pt>
                <c:pt idx="983">
                  <c:v>80.3</c:v>
                </c:pt>
                <c:pt idx="984">
                  <c:v>80.25</c:v>
                </c:pt>
                <c:pt idx="985">
                  <c:v>80.260000000000005</c:v>
                </c:pt>
                <c:pt idx="986">
                  <c:v>80.290000000000006</c:v>
                </c:pt>
                <c:pt idx="987">
                  <c:v>80.23</c:v>
                </c:pt>
                <c:pt idx="988">
                  <c:v>80.28</c:v>
                </c:pt>
                <c:pt idx="989">
                  <c:v>80.180000000000007</c:v>
                </c:pt>
                <c:pt idx="990">
                  <c:v>80.23</c:v>
                </c:pt>
                <c:pt idx="991">
                  <c:v>80.290000000000006</c:v>
                </c:pt>
                <c:pt idx="992">
                  <c:v>80.11</c:v>
                </c:pt>
                <c:pt idx="993">
                  <c:v>80.25</c:v>
                </c:pt>
                <c:pt idx="994">
                  <c:v>80.02</c:v>
                </c:pt>
                <c:pt idx="995">
                  <c:v>80.27</c:v>
                </c:pt>
                <c:pt idx="996">
                  <c:v>80.11</c:v>
                </c:pt>
                <c:pt idx="997">
                  <c:v>80.319999999999993</c:v>
                </c:pt>
                <c:pt idx="998">
                  <c:v>80.06</c:v>
                </c:pt>
                <c:pt idx="999">
                  <c:v>80.31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0C-44FB-9E29-01463F602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020047"/>
        <c:axId val="501020527"/>
      </c:scatterChart>
      <c:valAx>
        <c:axId val="501020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020527"/>
        <c:crosses val="autoZero"/>
        <c:crossBetween val="midCat"/>
      </c:valAx>
      <c:valAx>
        <c:axId val="50102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0200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Sheet1!$AK$16</c:f>
              <c:strCache>
                <c:ptCount val="1"/>
                <c:pt idx="0">
                  <c:v>50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Sheet1!$AL$14:$AM$15</c:f>
              <c:multiLvlStrCache>
                <c:ptCount val="2"/>
                <c:lvl>
                  <c:pt idx="0">
                    <c:v>GS PID</c:v>
                  </c:pt>
                  <c:pt idx="1">
                    <c:v>FM</c:v>
                  </c:pt>
                </c:lvl>
                <c:lvl>
                  <c:pt idx="0">
                    <c:v>Rise time (s)</c:v>
                  </c:pt>
                </c:lvl>
              </c:multiLvlStrCache>
            </c:multiLvlStrRef>
          </c:cat>
          <c:val>
            <c:numRef>
              <c:f>Sheet1!$AL$16:$AM$16</c:f>
              <c:numCache>
                <c:formatCode>General</c:formatCode>
                <c:ptCount val="2"/>
                <c:pt idx="0">
                  <c:v>4.9000000000000004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83-4491-97CF-908328BF2803}"/>
            </c:ext>
          </c:extLst>
        </c:ser>
        <c:ser>
          <c:idx val="1"/>
          <c:order val="1"/>
          <c:tx>
            <c:strRef>
              <c:f>Sheet1!$AK$17</c:f>
              <c:strCache>
                <c:ptCount val="1"/>
                <c:pt idx="0">
                  <c:v>65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Sheet1!$AL$14:$AM$15</c:f>
              <c:multiLvlStrCache>
                <c:ptCount val="2"/>
                <c:lvl>
                  <c:pt idx="0">
                    <c:v>GS PID</c:v>
                  </c:pt>
                  <c:pt idx="1">
                    <c:v>FM</c:v>
                  </c:pt>
                </c:lvl>
                <c:lvl>
                  <c:pt idx="0">
                    <c:v>Rise time (s)</c:v>
                  </c:pt>
                </c:lvl>
              </c:multiLvlStrCache>
            </c:multiLvlStrRef>
          </c:cat>
          <c:val>
            <c:numRef>
              <c:f>Sheet1!$AL$17:$AM$17</c:f>
              <c:numCache>
                <c:formatCode>General</c:formatCode>
                <c:ptCount val="2"/>
                <c:pt idx="0">
                  <c:v>4.5</c:v>
                </c:pt>
                <c:pt idx="1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83-4491-97CF-908328BF2803}"/>
            </c:ext>
          </c:extLst>
        </c:ser>
        <c:ser>
          <c:idx val="2"/>
          <c:order val="2"/>
          <c:tx>
            <c:strRef>
              <c:f>Sheet1!$AK$18</c:f>
              <c:strCache>
                <c:ptCount val="1"/>
                <c:pt idx="0">
                  <c:v>80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Sheet1!$AL$14:$AM$15</c:f>
              <c:multiLvlStrCache>
                <c:ptCount val="2"/>
                <c:lvl>
                  <c:pt idx="0">
                    <c:v>GS PID</c:v>
                  </c:pt>
                  <c:pt idx="1">
                    <c:v>FM</c:v>
                  </c:pt>
                </c:lvl>
                <c:lvl>
                  <c:pt idx="0">
                    <c:v>Rise time (s)</c:v>
                  </c:pt>
                </c:lvl>
              </c:multiLvlStrCache>
            </c:multiLvlStrRef>
          </c:cat>
          <c:val>
            <c:numRef>
              <c:f>Sheet1!$AL$18:$AM$18</c:f>
              <c:numCache>
                <c:formatCode>General</c:formatCode>
                <c:ptCount val="2"/>
                <c:pt idx="0">
                  <c:v>4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83-4491-97CF-908328BF2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9503712"/>
        <c:axId val="519504192"/>
      </c:barChart>
      <c:catAx>
        <c:axId val="51950371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504192"/>
        <c:crosses val="autoZero"/>
        <c:auto val="1"/>
        <c:lblAlgn val="ctr"/>
        <c:lblOffset val="100"/>
        <c:noMultiLvlLbl val="0"/>
      </c:catAx>
      <c:valAx>
        <c:axId val="51950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5037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Sheet1!$AW$13</c:f>
              <c:strCache>
                <c:ptCount val="1"/>
                <c:pt idx="0">
                  <c:v>50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Sheet1!$AX$11:$AY$12</c:f>
              <c:multiLvlStrCache>
                <c:ptCount val="2"/>
                <c:lvl>
                  <c:pt idx="0">
                    <c:v>GS PID</c:v>
                  </c:pt>
                  <c:pt idx="1">
                    <c:v>FM</c:v>
                  </c:pt>
                </c:lvl>
                <c:lvl>
                  <c:pt idx="0">
                    <c:v>Maksimum Overshoot(%)</c:v>
                  </c:pt>
                </c:lvl>
              </c:multiLvlStrCache>
            </c:multiLvlStrRef>
          </c:cat>
          <c:val>
            <c:numRef>
              <c:f>Sheet1!$AX$13:$AY$13</c:f>
              <c:numCache>
                <c:formatCode>General</c:formatCode>
                <c:ptCount val="2"/>
                <c:pt idx="0">
                  <c:v>1.18</c:v>
                </c:pt>
                <c:pt idx="1">
                  <c:v>4.0599999999999996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68-480E-8F3F-A29A188839B7}"/>
            </c:ext>
          </c:extLst>
        </c:ser>
        <c:ser>
          <c:idx val="1"/>
          <c:order val="1"/>
          <c:tx>
            <c:strRef>
              <c:f>Sheet1!$AW$14</c:f>
              <c:strCache>
                <c:ptCount val="1"/>
                <c:pt idx="0">
                  <c:v>65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Sheet1!$AX$11:$AY$12</c:f>
              <c:multiLvlStrCache>
                <c:ptCount val="2"/>
                <c:lvl>
                  <c:pt idx="0">
                    <c:v>GS PID</c:v>
                  </c:pt>
                  <c:pt idx="1">
                    <c:v>FM</c:v>
                  </c:pt>
                </c:lvl>
                <c:lvl>
                  <c:pt idx="0">
                    <c:v>Maksimum Overshoot(%)</c:v>
                  </c:pt>
                </c:lvl>
              </c:multiLvlStrCache>
            </c:multiLvlStrRef>
          </c:cat>
          <c:val>
            <c:numRef>
              <c:f>Sheet1!$AX$14:$AY$14</c:f>
              <c:numCache>
                <c:formatCode>General</c:formatCode>
                <c:ptCount val="2"/>
                <c:pt idx="0">
                  <c:v>2.5299999999999998</c:v>
                </c:pt>
                <c:pt idx="1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68-480E-8F3F-A29A188839B7}"/>
            </c:ext>
          </c:extLst>
        </c:ser>
        <c:ser>
          <c:idx val="2"/>
          <c:order val="2"/>
          <c:tx>
            <c:strRef>
              <c:f>Sheet1!$AW$15</c:f>
              <c:strCache>
                <c:ptCount val="1"/>
                <c:pt idx="0">
                  <c:v>80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Sheet1!$AX$11:$AY$12</c:f>
              <c:multiLvlStrCache>
                <c:ptCount val="2"/>
                <c:lvl>
                  <c:pt idx="0">
                    <c:v>GS PID</c:v>
                  </c:pt>
                  <c:pt idx="1">
                    <c:v>FM</c:v>
                  </c:pt>
                </c:lvl>
                <c:lvl>
                  <c:pt idx="0">
                    <c:v>Maksimum Overshoot(%)</c:v>
                  </c:pt>
                </c:lvl>
              </c:multiLvlStrCache>
            </c:multiLvlStrRef>
          </c:cat>
          <c:val>
            <c:numRef>
              <c:f>Sheet1!$AX$15:$AY$15</c:f>
              <c:numCache>
                <c:formatCode>General</c:formatCode>
                <c:ptCount val="2"/>
                <c:pt idx="0">
                  <c:v>2.87</c:v>
                </c:pt>
                <c:pt idx="1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68-480E-8F3F-A29A18883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6365648"/>
        <c:axId val="516361328"/>
      </c:barChart>
      <c:catAx>
        <c:axId val="51636564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361328"/>
        <c:crosses val="autoZero"/>
        <c:auto val="1"/>
        <c:lblAlgn val="ctr"/>
        <c:lblOffset val="100"/>
        <c:noMultiLvlLbl val="0"/>
      </c:catAx>
      <c:valAx>
        <c:axId val="51636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3656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Sheet1!$AK$28</c:f>
              <c:strCache>
                <c:ptCount val="1"/>
                <c:pt idx="0">
                  <c:v>50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Sheet1!$AL$26:$AM$27</c:f>
              <c:multiLvlStrCache>
                <c:ptCount val="2"/>
                <c:lvl>
                  <c:pt idx="0">
                    <c:v>GS PID</c:v>
                  </c:pt>
                  <c:pt idx="1">
                    <c:v>FM</c:v>
                  </c:pt>
                </c:lvl>
                <c:lvl>
                  <c:pt idx="0">
                    <c:v>SSE(%)</c:v>
                  </c:pt>
                </c:lvl>
              </c:multiLvlStrCache>
            </c:multiLvlStrRef>
          </c:cat>
          <c:val>
            <c:numRef>
              <c:f>Sheet1!$AL$28:$AM$28</c:f>
              <c:numCache>
                <c:formatCode>General</c:formatCode>
                <c:ptCount val="2"/>
                <c:pt idx="0">
                  <c:v>1E-3</c:v>
                </c:pt>
                <c:pt idx="1">
                  <c:v>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77-4C33-A24B-431CFF6D3C07}"/>
            </c:ext>
          </c:extLst>
        </c:ser>
        <c:ser>
          <c:idx val="1"/>
          <c:order val="1"/>
          <c:tx>
            <c:strRef>
              <c:f>Sheet1!$AK$29</c:f>
              <c:strCache>
                <c:ptCount val="1"/>
                <c:pt idx="0">
                  <c:v>65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Sheet1!$AL$26:$AM$27</c:f>
              <c:multiLvlStrCache>
                <c:ptCount val="2"/>
                <c:lvl>
                  <c:pt idx="0">
                    <c:v>GS PID</c:v>
                  </c:pt>
                  <c:pt idx="1">
                    <c:v>FM</c:v>
                  </c:pt>
                </c:lvl>
                <c:lvl>
                  <c:pt idx="0">
                    <c:v>SSE(%)</c:v>
                  </c:pt>
                </c:lvl>
              </c:multiLvlStrCache>
            </c:multiLvlStrRef>
          </c:cat>
          <c:val>
            <c:numRef>
              <c:f>Sheet1!$AL$29:$AM$29</c:f>
              <c:numCache>
                <c:formatCode>General</c:formatCode>
                <c:ptCount val="2"/>
                <c:pt idx="0">
                  <c:v>0.24</c:v>
                </c:pt>
                <c:pt idx="1">
                  <c:v>0.39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77-4C33-A24B-431CFF6D3C07}"/>
            </c:ext>
          </c:extLst>
        </c:ser>
        <c:ser>
          <c:idx val="2"/>
          <c:order val="2"/>
          <c:tx>
            <c:strRef>
              <c:f>Sheet1!$AK$30</c:f>
              <c:strCache>
                <c:ptCount val="1"/>
                <c:pt idx="0">
                  <c:v>80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Sheet1!$AL$26:$AM$27</c:f>
              <c:multiLvlStrCache>
                <c:ptCount val="2"/>
                <c:lvl>
                  <c:pt idx="0">
                    <c:v>GS PID</c:v>
                  </c:pt>
                  <c:pt idx="1">
                    <c:v>FM</c:v>
                  </c:pt>
                </c:lvl>
                <c:lvl>
                  <c:pt idx="0">
                    <c:v>SSE(%)</c:v>
                  </c:pt>
                </c:lvl>
              </c:multiLvlStrCache>
            </c:multiLvlStrRef>
          </c:cat>
          <c:val>
            <c:numRef>
              <c:f>Sheet1!$AL$30:$AM$30</c:f>
              <c:numCache>
                <c:formatCode>General</c:formatCode>
                <c:ptCount val="2"/>
                <c:pt idx="0">
                  <c:v>0.2</c:v>
                </c:pt>
                <c:pt idx="1">
                  <c:v>0.31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77-4C33-A24B-431CFF6D3C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6363248"/>
        <c:axId val="516366128"/>
      </c:barChart>
      <c:catAx>
        <c:axId val="51636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366128"/>
        <c:crosses val="autoZero"/>
        <c:auto val="1"/>
        <c:lblAlgn val="ctr"/>
        <c:lblOffset val="100"/>
        <c:noMultiLvlLbl val="0"/>
      </c:catAx>
      <c:valAx>
        <c:axId val="51636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36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Sheet1!$BK$4</c:f>
              <c:strCache>
                <c:ptCount val="1"/>
                <c:pt idx="0">
                  <c:v>50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Sheet1!$BL$2:$BQ$3</c:f>
              <c:multiLvlStrCache>
                <c:ptCount val="6"/>
                <c:lvl>
                  <c:pt idx="0">
                    <c:v>GS PID</c:v>
                  </c:pt>
                  <c:pt idx="1">
                    <c:v>FM</c:v>
                  </c:pt>
                  <c:pt idx="2">
                    <c:v>GS PID</c:v>
                  </c:pt>
                  <c:pt idx="3">
                    <c:v>FM</c:v>
                  </c:pt>
                  <c:pt idx="4">
                    <c:v>GS PID</c:v>
                  </c:pt>
                  <c:pt idx="5">
                    <c:v>FM</c:v>
                  </c:pt>
                </c:lvl>
                <c:lvl>
                  <c:pt idx="0">
                    <c:v>IAE</c:v>
                  </c:pt>
                  <c:pt idx="2">
                    <c:v>ISE</c:v>
                  </c:pt>
                  <c:pt idx="4">
                    <c:v>ITAE</c:v>
                  </c:pt>
                </c:lvl>
              </c:multiLvlStrCache>
            </c:multiLvlStrRef>
          </c:cat>
          <c:val>
            <c:numRef>
              <c:f>Sheet1!$BL$4:$BQ$4</c:f>
              <c:numCache>
                <c:formatCode>#,##0</c:formatCode>
                <c:ptCount val="6"/>
                <c:pt idx="0" formatCode="General">
                  <c:v>170.74</c:v>
                </c:pt>
                <c:pt idx="1">
                  <c:v>208</c:v>
                </c:pt>
                <c:pt idx="2" formatCode="General">
                  <c:v>1364.76</c:v>
                </c:pt>
                <c:pt idx="3" formatCode="General">
                  <c:v>2076.11</c:v>
                </c:pt>
                <c:pt idx="4" formatCode="General">
                  <c:v>6785.91</c:v>
                </c:pt>
                <c:pt idx="5" formatCode="General">
                  <c:v>8604.93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F9-440D-9126-3A56B369E920}"/>
            </c:ext>
          </c:extLst>
        </c:ser>
        <c:ser>
          <c:idx val="1"/>
          <c:order val="1"/>
          <c:tx>
            <c:strRef>
              <c:f>Sheet1!$BK$5</c:f>
              <c:strCache>
                <c:ptCount val="1"/>
                <c:pt idx="0">
                  <c:v>65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Sheet1!$BL$2:$BQ$3</c:f>
              <c:multiLvlStrCache>
                <c:ptCount val="6"/>
                <c:lvl>
                  <c:pt idx="0">
                    <c:v>GS PID</c:v>
                  </c:pt>
                  <c:pt idx="1">
                    <c:v>FM</c:v>
                  </c:pt>
                  <c:pt idx="2">
                    <c:v>GS PID</c:v>
                  </c:pt>
                  <c:pt idx="3">
                    <c:v>FM</c:v>
                  </c:pt>
                  <c:pt idx="4">
                    <c:v>GS PID</c:v>
                  </c:pt>
                  <c:pt idx="5">
                    <c:v>FM</c:v>
                  </c:pt>
                </c:lvl>
                <c:lvl>
                  <c:pt idx="0">
                    <c:v>IAE</c:v>
                  </c:pt>
                  <c:pt idx="2">
                    <c:v>ISE</c:v>
                  </c:pt>
                  <c:pt idx="4">
                    <c:v>ITAE</c:v>
                  </c:pt>
                </c:lvl>
              </c:multiLvlStrCache>
            </c:multiLvlStrRef>
          </c:cat>
          <c:val>
            <c:numRef>
              <c:f>Sheet1!$BL$5:$BQ$5</c:f>
              <c:numCache>
                <c:formatCode>#,##0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51F9-440D-9126-3A56B369E920}"/>
            </c:ext>
          </c:extLst>
        </c:ser>
        <c:ser>
          <c:idx val="2"/>
          <c:order val="2"/>
          <c:tx>
            <c:strRef>
              <c:f>Sheet1!$BK$6</c:f>
              <c:strCache>
                <c:ptCount val="1"/>
                <c:pt idx="0">
                  <c:v>80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Sheet1!$BL$2:$BQ$3</c:f>
              <c:multiLvlStrCache>
                <c:ptCount val="6"/>
                <c:lvl>
                  <c:pt idx="0">
                    <c:v>GS PID</c:v>
                  </c:pt>
                  <c:pt idx="1">
                    <c:v>FM</c:v>
                  </c:pt>
                  <c:pt idx="2">
                    <c:v>GS PID</c:v>
                  </c:pt>
                  <c:pt idx="3">
                    <c:v>FM</c:v>
                  </c:pt>
                  <c:pt idx="4">
                    <c:v>GS PID</c:v>
                  </c:pt>
                  <c:pt idx="5">
                    <c:v>FM</c:v>
                  </c:pt>
                </c:lvl>
                <c:lvl>
                  <c:pt idx="0">
                    <c:v>IAE</c:v>
                  </c:pt>
                  <c:pt idx="2">
                    <c:v>ISE</c:v>
                  </c:pt>
                  <c:pt idx="4">
                    <c:v>ITAE</c:v>
                  </c:pt>
                </c:lvl>
              </c:multiLvlStrCache>
            </c:multiLvlStrRef>
          </c:cat>
          <c:val>
            <c:numRef>
              <c:f>Sheet1!$BL$6:$BQ$6</c:f>
              <c:numCache>
                <c:formatCode>#,##0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51F9-440D-9126-3A56B369E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741376"/>
        <c:axId val="192743296"/>
      </c:barChart>
      <c:catAx>
        <c:axId val="19274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43296"/>
        <c:crosses val="autoZero"/>
        <c:auto val="1"/>
        <c:lblAlgn val="ctr"/>
        <c:lblOffset val="100"/>
        <c:noMultiLvlLbl val="0"/>
      </c:catAx>
      <c:valAx>
        <c:axId val="19274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4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'Data In'!$C$1:$C$3</c:f>
              <c:strCache>
                <c:ptCount val="3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'Data In'!$B$4:$B$1807</c:f>
              <c:strCache>
                <c:ptCount val="1004"/>
                <c:pt idx="0">
                  <c:v>CH1</c:v>
                </c:pt>
                <c:pt idx="1">
                  <c:v>100.1</c:v>
                </c:pt>
                <c:pt idx="3">
                  <c:v>CH1</c:v>
                </c:pt>
                <c:pt idx="4">
                  <c:v>0.2</c:v>
                </c:pt>
                <c:pt idx="5">
                  <c:v>0.3</c:v>
                </c:pt>
                <c:pt idx="6">
                  <c:v>0.4</c:v>
                </c:pt>
                <c:pt idx="7">
                  <c:v>0.5</c:v>
                </c:pt>
                <c:pt idx="8">
                  <c:v>0.6</c:v>
                </c:pt>
                <c:pt idx="9">
                  <c:v>0.7</c:v>
                </c:pt>
                <c:pt idx="10">
                  <c:v>0.8</c:v>
                </c:pt>
                <c:pt idx="11">
                  <c:v>0.9</c:v>
                </c:pt>
                <c:pt idx="12">
                  <c:v>1</c:v>
                </c:pt>
                <c:pt idx="13">
                  <c:v>1.1</c:v>
                </c:pt>
                <c:pt idx="14">
                  <c:v>1.2</c:v>
                </c:pt>
                <c:pt idx="15">
                  <c:v>1.3</c:v>
                </c:pt>
                <c:pt idx="16">
                  <c:v>1.4</c:v>
                </c:pt>
                <c:pt idx="17">
                  <c:v>1.5</c:v>
                </c:pt>
                <c:pt idx="18">
                  <c:v>1.6</c:v>
                </c:pt>
                <c:pt idx="19">
                  <c:v>1.7</c:v>
                </c:pt>
                <c:pt idx="20">
                  <c:v>1.8</c:v>
                </c:pt>
                <c:pt idx="21">
                  <c:v>1.9</c:v>
                </c:pt>
                <c:pt idx="22">
                  <c:v>2</c:v>
                </c:pt>
                <c:pt idx="23">
                  <c:v>2.1</c:v>
                </c:pt>
                <c:pt idx="24">
                  <c:v>2.2</c:v>
                </c:pt>
                <c:pt idx="25">
                  <c:v>2.3</c:v>
                </c:pt>
                <c:pt idx="26">
                  <c:v>2.4</c:v>
                </c:pt>
                <c:pt idx="27">
                  <c:v>2.5</c:v>
                </c:pt>
                <c:pt idx="28">
                  <c:v>2.6</c:v>
                </c:pt>
                <c:pt idx="29">
                  <c:v>2.7</c:v>
                </c:pt>
                <c:pt idx="30">
                  <c:v>2.8</c:v>
                </c:pt>
                <c:pt idx="31">
                  <c:v>2.9</c:v>
                </c:pt>
                <c:pt idx="32">
                  <c:v>3</c:v>
                </c:pt>
                <c:pt idx="33">
                  <c:v>3.1</c:v>
                </c:pt>
                <c:pt idx="34">
                  <c:v>3.2</c:v>
                </c:pt>
                <c:pt idx="35">
                  <c:v>3.3</c:v>
                </c:pt>
                <c:pt idx="36">
                  <c:v>3.4</c:v>
                </c:pt>
                <c:pt idx="37">
                  <c:v>3.5</c:v>
                </c:pt>
                <c:pt idx="38">
                  <c:v>3.6</c:v>
                </c:pt>
                <c:pt idx="39">
                  <c:v>3.7</c:v>
                </c:pt>
                <c:pt idx="40">
                  <c:v>3.8</c:v>
                </c:pt>
                <c:pt idx="41">
                  <c:v>3.9</c:v>
                </c:pt>
                <c:pt idx="42">
                  <c:v>4</c:v>
                </c:pt>
                <c:pt idx="43">
                  <c:v>4.1</c:v>
                </c:pt>
                <c:pt idx="44">
                  <c:v>4.2</c:v>
                </c:pt>
                <c:pt idx="45">
                  <c:v>4.3</c:v>
                </c:pt>
                <c:pt idx="46">
                  <c:v>4.4</c:v>
                </c:pt>
                <c:pt idx="47">
                  <c:v>4.5</c:v>
                </c:pt>
                <c:pt idx="48">
                  <c:v>4.6</c:v>
                </c:pt>
                <c:pt idx="49">
                  <c:v>4.7</c:v>
                </c:pt>
                <c:pt idx="50">
                  <c:v>4.8</c:v>
                </c:pt>
                <c:pt idx="51">
                  <c:v>4.9</c:v>
                </c:pt>
                <c:pt idx="52">
                  <c:v>5</c:v>
                </c:pt>
                <c:pt idx="53">
                  <c:v>5.1</c:v>
                </c:pt>
                <c:pt idx="54">
                  <c:v>5.2</c:v>
                </c:pt>
                <c:pt idx="55">
                  <c:v>5.3</c:v>
                </c:pt>
                <c:pt idx="56">
                  <c:v>5.4</c:v>
                </c:pt>
                <c:pt idx="57">
                  <c:v>5.5</c:v>
                </c:pt>
                <c:pt idx="58">
                  <c:v>5.6</c:v>
                </c:pt>
                <c:pt idx="59">
                  <c:v>5.7</c:v>
                </c:pt>
                <c:pt idx="60">
                  <c:v>5.8</c:v>
                </c:pt>
                <c:pt idx="61">
                  <c:v>5.9</c:v>
                </c:pt>
                <c:pt idx="62">
                  <c:v>6</c:v>
                </c:pt>
                <c:pt idx="63">
                  <c:v>6.1</c:v>
                </c:pt>
                <c:pt idx="64">
                  <c:v>6.2</c:v>
                </c:pt>
                <c:pt idx="65">
                  <c:v>6.3</c:v>
                </c:pt>
                <c:pt idx="66">
                  <c:v>6.4</c:v>
                </c:pt>
                <c:pt idx="67">
                  <c:v>6.5</c:v>
                </c:pt>
                <c:pt idx="68">
                  <c:v>6.6</c:v>
                </c:pt>
                <c:pt idx="69">
                  <c:v>6.7</c:v>
                </c:pt>
                <c:pt idx="70">
                  <c:v>6.8</c:v>
                </c:pt>
                <c:pt idx="71">
                  <c:v>6.9</c:v>
                </c:pt>
                <c:pt idx="72">
                  <c:v>7</c:v>
                </c:pt>
                <c:pt idx="73">
                  <c:v>7.1</c:v>
                </c:pt>
                <c:pt idx="74">
                  <c:v>7.2</c:v>
                </c:pt>
                <c:pt idx="75">
                  <c:v>7.3</c:v>
                </c:pt>
                <c:pt idx="76">
                  <c:v>7.4</c:v>
                </c:pt>
                <c:pt idx="77">
                  <c:v>7.5</c:v>
                </c:pt>
                <c:pt idx="78">
                  <c:v>7.6</c:v>
                </c:pt>
                <c:pt idx="79">
                  <c:v>7.7</c:v>
                </c:pt>
                <c:pt idx="80">
                  <c:v>7.8</c:v>
                </c:pt>
                <c:pt idx="81">
                  <c:v>7.9</c:v>
                </c:pt>
                <c:pt idx="82">
                  <c:v>8</c:v>
                </c:pt>
                <c:pt idx="83">
                  <c:v>8.1</c:v>
                </c:pt>
                <c:pt idx="84">
                  <c:v>8.2</c:v>
                </c:pt>
                <c:pt idx="85">
                  <c:v>8.3</c:v>
                </c:pt>
                <c:pt idx="86">
                  <c:v>8.4</c:v>
                </c:pt>
                <c:pt idx="87">
                  <c:v>8.5</c:v>
                </c:pt>
                <c:pt idx="88">
                  <c:v>8.6</c:v>
                </c:pt>
                <c:pt idx="89">
                  <c:v>8.7</c:v>
                </c:pt>
                <c:pt idx="90">
                  <c:v>8.8</c:v>
                </c:pt>
                <c:pt idx="91">
                  <c:v>8.9</c:v>
                </c:pt>
                <c:pt idx="92">
                  <c:v>9</c:v>
                </c:pt>
                <c:pt idx="93">
                  <c:v>9.1</c:v>
                </c:pt>
                <c:pt idx="94">
                  <c:v>9.2</c:v>
                </c:pt>
                <c:pt idx="95">
                  <c:v>9.3</c:v>
                </c:pt>
                <c:pt idx="96">
                  <c:v>9.4</c:v>
                </c:pt>
                <c:pt idx="97">
                  <c:v>9.5</c:v>
                </c:pt>
                <c:pt idx="98">
                  <c:v>9.6</c:v>
                </c:pt>
                <c:pt idx="99">
                  <c:v>9.7</c:v>
                </c:pt>
                <c:pt idx="100">
                  <c:v>9.8</c:v>
                </c:pt>
                <c:pt idx="101">
                  <c:v>9.9</c:v>
                </c:pt>
                <c:pt idx="102">
                  <c:v>10</c:v>
                </c:pt>
                <c:pt idx="103">
                  <c:v>10.1</c:v>
                </c:pt>
                <c:pt idx="104">
                  <c:v>10.2</c:v>
                </c:pt>
                <c:pt idx="105">
                  <c:v>10.3</c:v>
                </c:pt>
                <c:pt idx="106">
                  <c:v>10.4</c:v>
                </c:pt>
                <c:pt idx="107">
                  <c:v>10.5</c:v>
                </c:pt>
                <c:pt idx="108">
                  <c:v>10.6</c:v>
                </c:pt>
                <c:pt idx="109">
                  <c:v>10.7</c:v>
                </c:pt>
                <c:pt idx="110">
                  <c:v>10.8</c:v>
                </c:pt>
                <c:pt idx="111">
                  <c:v>10.9</c:v>
                </c:pt>
                <c:pt idx="112">
                  <c:v>11</c:v>
                </c:pt>
                <c:pt idx="113">
                  <c:v>11.1</c:v>
                </c:pt>
                <c:pt idx="114">
                  <c:v>11.2</c:v>
                </c:pt>
                <c:pt idx="115">
                  <c:v>11.3</c:v>
                </c:pt>
                <c:pt idx="116">
                  <c:v>11.4</c:v>
                </c:pt>
                <c:pt idx="117">
                  <c:v>11.5</c:v>
                </c:pt>
                <c:pt idx="118">
                  <c:v>11.6</c:v>
                </c:pt>
                <c:pt idx="119">
                  <c:v>11.7</c:v>
                </c:pt>
                <c:pt idx="120">
                  <c:v>11.8</c:v>
                </c:pt>
                <c:pt idx="121">
                  <c:v>11.9</c:v>
                </c:pt>
                <c:pt idx="122">
                  <c:v>12</c:v>
                </c:pt>
                <c:pt idx="123">
                  <c:v>12.1</c:v>
                </c:pt>
                <c:pt idx="124">
                  <c:v>12.2</c:v>
                </c:pt>
                <c:pt idx="125">
                  <c:v>12.3</c:v>
                </c:pt>
                <c:pt idx="126">
                  <c:v>12.4</c:v>
                </c:pt>
                <c:pt idx="127">
                  <c:v>12.5</c:v>
                </c:pt>
                <c:pt idx="128">
                  <c:v>12.6</c:v>
                </c:pt>
                <c:pt idx="129">
                  <c:v>12.7</c:v>
                </c:pt>
                <c:pt idx="130">
                  <c:v>12.8</c:v>
                </c:pt>
                <c:pt idx="131">
                  <c:v>12.9</c:v>
                </c:pt>
                <c:pt idx="132">
                  <c:v>13</c:v>
                </c:pt>
                <c:pt idx="133">
                  <c:v>13.1</c:v>
                </c:pt>
                <c:pt idx="134">
                  <c:v>13.2</c:v>
                </c:pt>
                <c:pt idx="135">
                  <c:v>13.3</c:v>
                </c:pt>
                <c:pt idx="136">
                  <c:v>13.4</c:v>
                </c:pt>
                <c:pt idx="137">
                  <c:v>13.5</c:v>
                </c:pt>
                <c:pt idx="138">
                  <c:v>13.6</c:v>
                </c:pt>
                <c:pt idx="139">
                  <c:v>13.7</c:v>
                </c:pt>
                <c:pt idx="140">
                  <c:v>13.8</c:v>
                </c:pt>
                <c:pt idx="141">
                  <c:v>13.9</c:v>
                </c:pt>
                <c:pt idx="142">
                  <c:v>14</c:v>
                </c:pt>
                <c:pt idx="143">
                  <c:v>14.1</c:v>
                </c:pt>
                <c:pt idx="144">
                  <c:v>14.2</c:v>
                </c:pt>
                <c:pt idx="145">
                  <c:v>14.3</c:v>
                </c:pt>
                <c:pt idx="146">
                  <c:v>14.4</c:v>
                </c:pt>
                <c:pt idx="147">
                  <c:v>14.5</c:v>
                </c:pt>
                <c:pt idx="148">
                  <c:v>14.6</c:v>
                </c:pt>
                <c:pt idx="149">
                  <c:v>14.7</c:v>
                </c:pt>
                <c:pt idx="150">
                  <c:v>14.8</c:v>
                </c:pt>
                <c:pt idx="151">
                  <c:v>14.9</c:v>
                </c:pt>
                <c:pt idx="152">
                  <c:v>15</c:v>
                </c:pt>
                <c:pt idx="153">
                  <c:v>15.1</c:v>
                </c:pt>
                <c:pt idx="154">
                  <c:v>15.2</c:v>
                </c:pt>
                <c:pt idx="155">
                  <c:v>15.3</c:v>
                </c:pt>
                <c:pt idx="156">
                  <c:v>15.4</c:v>
                </c:pt>
                <c:pt idx="157">
                  <c:v>15.5</c:v>
                </c:pt>
                <c:pt idx="158">
                  <c:v>15.6</c:v>
                </c:pt>
                <c:pt idx="159">
                  <c:v>15.7</c:v>
                </c:pt>
                <c:pt idx="160">
                  <c:v>15.8</c:v>
                </c:pt>
                <c:pt idx="161">
                  <c:v>15.9</c:v>
                </c:pt>
                <c:pt idx="162">
                  <c:v>16</c:v>
                </c:pt>
                <c:pt idx="163">
                  <c:v>16.1</c:v>
                </c:pt>
                <c:pt idx="164">
                  <c:v>16.2</c:v>
                </c:pt>
                <c:pt idx="165">
                  <c:v>16.3</c:v>
                </c:pt>
                <c:pt idx="166">
                  <c:v>16.4</c:v>
                </c:pt>
                <c:pt idx="167">
                  <c:v>16.5</c:v>
                </c:pt>
                <c:pt idx="168">
                  <c:v>16.6</c:v>
                </c:pt>
                <c:pt idx="169">
                  <c:v>16.7</c:v>
                </c:pt>
                <c:pt idx="170">
                  <c:v>16.8</c:v>
                </c:pt>
                <c:pt idx="171">
                  <c:v>16.9</c:v>
                </c:pt>
                <c:pt idx="172">
                  <c:v>17</c:v>
                </c:pt>
                <c:pt idx="173">
                  <c:v>17.1</c:v>
                </c:pt>
                <c:pt idx="174">
                  <c:v>17.2</c:v>
                </c:pt>
                <c:pt idx="175">
                  <c:v>17.3</c:v>
                </c:pt>
                <c:pt idx="176">
                  <c:v>17.4</c:v>
                </c:pt>
                <c:pt idx="177">
                  <c:v>17.5</c:v>
                </c:pt>
                <c:pt idx="178">
                  <c:v>17.6</c:v>
                </c:pt>
                <c:pt idx="179">
                  <c:v>17.7</c:v>
                </c:pt>
                <c:pt idx="180">
                  <c:v>17.8</c:v>
                </c:pt>
                <c:pt idx="181">
                  <c:v>17.9</c:v>
                </c:pt>
                <c:pt idx="182">
                  <c:v>18</c:v>
                </c:pt>
                <c:pt idx="183">
                  <c:v>18.1</c:v>
                </c:pt>
                <c:pt idx="184">
                  <c:v>18.2</c:v>
                </c:pt>
                <c:pt idx="185">
                  <c:v>18.3</c:v>
                </c:pt>
                <c:pt idx="186">
                  <c:v>18.4</c:v>
                </c:pt>
                <c:pt idx="187">
                  <c:v>18.5</c:v>
                </c:pt>
                <c:pt idx="188">
                  <c:v>18.6</c:v>
                </c:pt>
                <c:pt idx="189">
                  <c:v>18.7</c:v>
                </c:pt>
                <c:pt idx="190">
                  <c:v>18.8</c:v>
                </c:pt>
                <c:pt idx="191">
                  <c:v>18.9</c:v>
                </c:pt>
                <c:pt idx="192">
                  <c:v>19</c:v>
                </c:pt>
                <c:pt idx="193">
                  <c:v>19.1</c:v>
                </c:pt>
                <c:pt idx="194">
                  <c:v>19.2</c:v>
                </c:pt>
                <c:pt idx="195">
                  <c:v>19.3</c:v>
                </c:pt>
                <c:pt idx="196">
                  <c:v>19.4</c:v>
                </c:pt>
                <c:pt idx="197">
                  <c:v>19.5</c:v>
                </c:pt>
                <c:pt idx="198">
                  <c:v>19.6</c:v>
                </c:pt>
                <c:pt idx="199">
                  <c:v>19.7</c:v>
                </c:pt>
                <c:pt idx="200">
                  <c:v>19.8</c:v>
                </c:pt>
                <c:pt idx="201">
                  <c:v>19.9</c:v>
                </c:pt>
                <c:pt idx="202">
                  <c:v>20</c:v>
                </c:pt>
                <c:pt idx="203">
                  <c:v>20.1</c:v>
                </c:pt>
                <c:pt idx="204">
                  <c:v>20.2</c:v>
                </c:pt>
                <c:pt idx="205">
                  <c:v>20.3</c:v>
                </c:pt>
                <c:pt idx="206">
                  <c:v>20.4</c:v>
                </c:pt>
                <c:pt idx="207">
                  <c:v>20.5</c:v>
                </c:pt>
                <c:pt idx="208">
                  <c:v>20.6</c:v>
                </c:pt>
                <c:pt idx="209">
                  <c:v>20.7</c:v>
                </c:pt>
                <c:pt idx="210">
                  <c:v>20.8</c:v>
                </c:pt>
                <c:pt idx="211">
                  <c:v>20.9</c:v>
                </c:pt>
                <c:pt idx="212">
                  <c:v>21</c:v>
                </c:pt>
                <c:pt idx="213">
                  <c:v>21.1</c:v>
                </c:pt>
                <c:pt idx="214">
                  <c:v>21.2</c:v>
                </c:pt>
                <c:pt idx="215">
                  <c:v>21.3</c:v>
                </c:pt>
                <c:pt idx="216">
                  <c:v>21.4</c:v>
                </c:pt>
                <c:pt idx="217">
                  <c:v>21.5</c:v>
                </c:pt>
                <c:pt idx="218">
                  <c:v>21.6</c:v>
                </c:pt>
                <c:pt idx="219">
                  <c:v>21.7</c:v>
                </c:pt>
                <c:pt idx="220">
                  <c:v>21.8</c:v>
                </c:pt>
                <c:pt idx="221">
                  <c:v>21.9</c:v>
                </c:pt>
                <c:pt idx="222">
                  <c:v>22</c:v>
                </c:pt>
                <c:pt idx="223">
                  <c:v>22.0.43</c:v>
                </c:pt>
                <c:pt idx="224">
                  <c:v>22.2</c:v>
                </c:pt>
                <c:pt idx="225">
                  <c:v>22.3</c:v>
                </c:pt>
                <c:pt idx="226">
                  <c:v>22.4</c:v>
                </c:pt>
                <c:pt idx="227">
                  <c:v>22.5</c:v>
                </c:pt>
                <c:pt idx="228">
                  <c:v>22.6</c:v>
                </c:pt>
                <c:pt idx="229">
                  <c:v>22.7</c:v>
                </c:pt>
                <c:pt idx="230">
                  <c:v>22.8</c:v>
                </c:pt>
                <c:pt idx="231">
                  <c:v>22.9</c:v>
                </c:pt>
                <c:pt idx="232">
                  <c:v>23</c:v>
                </c:pt>
                <c:pt idx="233">
                  <c:v>23.1</c:v>
                </c:pt>
                <c:pt idx="234">
                  <c:v>23.2</c:v>
                </c:pt>
                <c:pt idx="235">
                  <c:v>23.3</c:v>
                </c:pt>
                <c:pt idx="236">
                  <c:v>23.4</c:v>
                </c:pt>
                <c:pt idx="237">
                  <c:v>23.5</c:v>
                </c:pt>
                <c:pt idx="238">
                  <c:v>23.6</c:v>
                </c:pt>
                <c:pt idx="239">
                  <c:v>23.7</c:v>
                </c:pt>
                <c:pt idx="240">
                  <c:v>23.8</c:v>
                </c:pt>
                <c:pt idx="241">
                  <c:v>23.9</c:v>
                </c:pt>
                <c:pt idx="242">
                  <c:v>24</c:v>
                </c:pt>
                <c:pt idx="243">
                  <c:v>24.1</c:v>
                </c:pt>
                <c:pt idx="244">
                  <c:v>24.2</c:v>
                </c:pt>
                <c:pt idx="245">
                  <c:v>24.3</c:v>
                </c:pt>
                <c:pt idx="246">
                  <c:v>24.4</c:v>
                </c:pt>
                <c:pt idx="247">
                  <c:v>24.5</c:v>
                </c:pt>
                <c:pt idx="248">
                  <c:v>24.6</c:v>
                </c:pt>
                <c:pt idx="249">
                  <c:v>24.7</c:v>
                </c:pt>
                <c:pt idx="250">
                  <c:v>24.8</c:v>
                </c:pt>
                <c:pt idx="251">
                  <c:v>24.9</c:v>
                </c:pt>
                <c:pt idx="252">
                  <c:v>25</c:v>
                </c:pt>
                <c:pt idx="253">
                  <c:v>25.1</c:v>
                </c:pt>
                <c:pt idx="254">
                  <c:v>25.2</c:v>
                </c:pt>
                <c:pt idx="255">
                  <c:v>25.3</c:v>
                </c:pt>
                <c:pt idx="256">
                  <c:v>25.4</c:v>
                </c:pt>
                <c:pt idx="257">
                  <c:v>25.5</c:v>
                </c:pt>
                <c:pt idx="258">
                  <c:v>25.6</c:v>
                </c:pt>
                <c:pt idx="259">
                  <c:v>25.7</c:v>
                </c:pt>
                <c:pt idx="260">
                  <c:v>25.8</c:v>
                </c:pt>
                <c:pt idx="261">
                  <c:v>25.9</c:v>
                </c:pt>
                <c:pt idx="262">
                  <c:v>26</c:v>
                </c:pt>
                <c:pt idx="263">
                  <c:v>26.1</c:v>
                </c:pt>
                <c:pt idx="264">
                  <c:v>26.2</c:v>
                </c:pt>
                <c:pt idx="265">
                  <c:v>26.3</c:v>
                </c:pt>
                <c:pt idx="266">
                  <c:v>26.4</c:v>
                </c:pt>
                <c:pt idx="267">
                  <c:v>26.5</c:v>
                </c:pt>
                <c:pt idx="268">
                  <c:v>26.6</c:v>
                </c:pt>
                <c:pt idx="269">
                  <c:v>26.7</c:v>
                </c:pt>
                <c:pt idx="270">
                  <c:v>26.8</c:v>
                </c:pt>
                <c:pt idx="271">
                  <c:v>26.9</c:v>
                </c:pt>
                <c:pt idx="272">
                  <c:v>27</c:v>
                </c:pt>
                <c:pt idx="273">
                  <c:v>27.1</c:v>
                </c:pt>
                <c:pt idx="274">
                  <c:v>27.2</c:v>
                </c:pt>
                <c:pt idx="275">
                  <c:v>27.3</c:v>
                </c:pt>
                <c:pt idx="276">
                  <c:v>27.4</c:v>
                </c:pt>
                <c:pt idx="277">
                  <c:v>27.5</c:v>
                </c:pt>
                <c:pt idx="278">
                  <c:v>27.6</c:v>
                </c:pt>
                <c:pt idx="279">
                  <c:v>27.7</c:v>
                </c:pt>
                <c:pt idx="280">
                  <c:v>27.8</c:v>
                </c:pt>
                <c:pt idx="281">
                  <c:v>27.9</c:v>
                </c:pt>
                <c:pt idx="282">
                  <c:v>28</c:v>
                </c:pt>
                <c:pt idx="283">
                  <c:v>28.1</c:v>
                </c:pt>
                <c:pt idx="284">
                  <c:v>28.2</c:v>
                </c:pt>
                <c:pt idx="285">
                  <c:v>28.3</c:v>
                </c:pt>
                <c:pt idx="286">
                  <c:v>28.4</c:v>
                </c:pt>
                <c:pt idx="287">
                  <c:v>28.5</c:v>
                </c:pt>
                <c:pt idx="288">
                  <c:v>28.6</c:v>
                </c:pt>
                <c:pt idx="289">
                  <c:v>28.7</c:v>
                </c:pt>
                <c:pt idx="290">
                  <c:v>28.8</c:v>
                </c:pt>
                <c:pt idx="291">
                  <c:v>28.9</c:v>
                </c:pt>
                <c:pt idx="292">
                  <c:v>29</c:v>
                </c:pt>
                <c:pt idx="293">
                  <c:v>29.1</c:v>
                </c:pt>
                <c:pt idx="294">
                  <c:v>29.2</c:v>
                </c:pt>
                <c:pt idx="295">
                  <c:v>29.3</c:v>
                </c:pt>
                <c:pt idx="296">
                  <c:v>29.4</c:v>
                </c:pt>
                <c:pt idx="297">
                  <c:v>29.5</c:v>
                </c:pt>
                <c:pt idx="298">
                  <c:v>29.6</c:v>
                </c:pt>
                <c:pt idx="299">
                  <c:v>29.7</c:v>
                </c:pt>
                <c:pt idx="300">
                  <c:v>29.8</c:v>
                </c:pt>
                <c:pt idx="301">
                  <c:v>29.9</c:v>
                </c:pt>
                <c:pt idx="302">
                  <c:v>30</c:v>
                </c:pt>
                <c:pt idx="303">
                  <c:v>30.1</c:v>
                </c:pt>
                <c:pt idx="304">
                  <c:v>30.2</c:v>
                </c:pt>
                <c:pt idx="305">
                  <c:v>30.3</c:v>
                </c:pt>
                <c:pt idx="306">
                  <c:v>30.4</c:v>
                </c:pt>
                <c:pt idx="307">
                  <c:v>30.5</c:v>
                </c:pt>
                <c:pt idx="308">
                  <c:v>30.6</c:v>
                </c:pt>
                <c:pt idx="309">
                  <c:v>30.7</c:v>
                </c:pt>
                <c:pt idx="310">
                  <c:v>30.8</c:v>
                </c:pt>
                <c:pt idx="311">
                  <c:v>30.9</c:v>
                </c:pt>
                <c:pt idx="312">
                  <c:v>31</c:v>
                </c:pt>
                <c:pt idx="313">
                  <c:v>31.1</c:v>
                </c:pt>
                <c:pt idx="314">
                  <c:v>31.2</c:v>
                </c:pt>
                <c:pt idx="315">
                  <c:v>31.3</c:v>
                </c:pt>
                <c:pt idx="316">
                  <c:v>31.4</c:v>
                </c:pt>
                <c:pt idx="317">
                  <c:v>31.5</c:v>
                </c:pt>
                <c:pt idx="318">
                  <c:v>31.6</c:v>
                </c:pt>
                <c:pt idx="319">
                  <c:v>31.7</c:v>
                </c:pt>
                <c:pt idx="320">
                  <c:v>31.8</c:v>
                </c:pt>
                <c:pt idx="321">
                  <c:v>31.9</c:v>
                </c:pt>
                <c:pt idx="322">
                  <c:v>32</c:v>
                </c:pt>
                <c:pt idx="323">
                  <c:v>32.1</c:v>
                </c:pt>
                <c:pt idx="324">
                  <c:v>32.2</c:v>
                </c:pt>
                <c:pt idx="325">
                  <c:v>32.3</c:v>
                </c:pt>
                <c:pt idx="326">
                  <c:v>32.4</c:v>
                </c:pt>
                <c:pt idx="327">
                  <c:v>32.5</c:v>
                </c:pt>
                <c:pt idx="328">
                  <c:v>32.6</c:v>
                </c:pt>
                <c:pt idx="329">
                  <c:v>32.7</c:v>
                </c:pt>
                <c:pt idx="330">
                  <c:v>32.8</c:v>
                </c:pt>
                <c:pt idx="331">
                  <c:v>32.9</c:v>
                </c:pt>
                <c:pt idx="332">
                  <c:v>33</c:v>
                </c:pt>
                <c:pt idx="333">
                  <c:v>33.1</c:v>
                </c:pt>
                <c:pt idx="334">
                  <c:v>33.2</c:v>
                </c:pt>
                <c:pt idx="335">
                  <c:v>33.3</c:v>
                </c:pt>
                <c:pt idx="336">
                  <c:v>33.4</c:v>
                </c:pt>
                <c:pt idx="337">
                  <c:v>33.5</c:v>
                </c:pt>
                <c:pt idx="338">
                  <c:v>33.6</c:v>
                </c:pt>
                <c:pt idx="339">
                  <c:v>33.7</c:v>
                </c:pt>
                <c:pt idx="340">
                  <c:v>33.8</c:v>
                </c:pt>
                <c:pt idx="341">
                  <c:v>33.9</c:v>
                </c:pt>
                <c:pt idx="342">
                  <c:v>34</c:v>
                </c:pt>
                <c:pt idx="343">
                  <c:v>34.1</c:v>
                </c:pt>
                <c:pt idx="344">
                  <c:v>34.2</c:v>
                </c:pt>
                <c:pt idx="345">
                  <c:v>34.3</c:v>
                </c:pt>
                <c:pt idx="346">
                  <c:v>34.4</c:v>
                </c:pt>
                <c:pt idx="347">
                  <c:v>34.5</c:v>
                </c:pt>
                <c:pt idx="348">
                  <c:v>34.6</c:v>
                </c:pt>
                <c:pt idx="349">
                  <c:v>34.7</c:v>
                </c:pt>
                <c:pt idx="350">
                  <c:v>34.8</c:v>
                </c:pt>
                <c:pt idx="351">
                  <c:v>34.9</c:v>
                </c:pt>
                <c:pt idx="352">
                  <c:v>35</c:v>
                </c:pt>
                <c:pt idx="353">
                  <c:v>35.1</c:v>
                </c:pt>
                <c:pt idx="354">
                  <c:v>35.2</c:v>
                </c:pt>
                <c:pt idx="355">
                  <c:v>35.3</c:v>
                </c:pt>
                <c:pt idx="356">
                  <c:v>35.4</c:v>
                </c:pt>
                <c:pt idx="357">
                  <c:v>35.5</c:v>
                </c:pt>
                <c:pt idx="358">
                  <c:v>35.6</c:v>
                </c:pt>
                <c:pt idx="359">
                  <c:v>35.7</c:v>
                </c:pt>
                <c:pt idx="360">
                  <c:v>35.8</c:v>
                </c:pt>
                <c:pt idx="361">
                  <c:v>35.9</c:v>
                </c:pt>
                <c:pt idx="362">
                  <c:v>36</c:v>
                </c:pt>
                <c:pt idx="363">
                  <c:v>36.1</c:v>
                </c:pt>
                <c:pt idx="364">
                  <c:v>36.2</c:v>
                </c:pt>
                <c:pt idx="365">
                  <c:v>36.3</c:v>
                </c:pt>
                <c:pt idx="366">
                  <c:v>36.4</c:v>
                </c:pt>
                <c:pt idx="367">
                  <c:v>36.5</c:v>
                </c:pt>
                <c:pt idx="368">
                  <c:v>36.6</c:v>
                </c:pt>
                <c:pt idx="369">
                  <c:v>36.7</c:v>
                </c:pt>
                <c:pt idx="370">
                  <c:v>36.8</c:v>
                </c:pt>
                <c:pt idx="371">
                  <c:v>36.9</c:v>
                </c:pt>
                <c:pt idx="372">
                  <c:v>37</c:v>
                </c:pt>
                <c:pt idx="373">
                  <c:v>37.1</c:v>
                </c:pt>
                <c:pt idx="374">
                  <c:v>37.2</c:v>
                </c:pt>
                <c:pt idx="375">
                  <c:v>37.3</c:v>
                </c:pt>
                <c:pt idx="376">
                  <c:v>37.4</c:v>
                </c:pt>
                <c:pt idx="377">
                  <c:v>37.5</c:v>
                </c:pt>
                <c:pt idx="378">
                  <c:v>37.6</c:v>
                </c:pt>
                <c:pt idx="379">
                  <c:v>37.7</c:v>
                </c:pt>
                <c:pt idx="380">
                  <c:v>37.8</c:v>
                </c:pt>
                <c:pt idx="381">
                  <c:v>37.9</c:v>
                </c:pt>
                <c:pt idx="382">
                  <c:v>38</c:v>
                </c:pt>
                <c:pt idx="383">
                  <c:v>38.1</c:v>
                </c:pt>
                <c:pt idx="384">
                  <c:v>38.2</c:v>
                </c:pt>
                <c:pt idx="385">
                  <c:v>38.3</c:v>
                </c:pt>
                <c:pt idx="386">
                  <c:v>38.4</c:v>
                </c:pt>
                <c:pt idx="387">
                  <c:v>38.5</c:v>
                </c:pt>
                <c:pt idx="388">
                  <c:v>38.6</c:v>
                </c:pt>
                <c:pt idx="389">
                  <c:v>38.7</c:v>
                </c:pt>
                <c:pt idx="390">
                  <c:v>38.8</c:v>
                </c:pt>
                <c:pt idx="391">
                  <c:v>38.9</c:v>
                </c:pt>
                <c:pt idx="392">
                  <c:v>39</c:v>
                </c:pt>
                <c:pt idx="393">
                  <c:v>39.1</c:v>
                </c:pt>
                <c:pt idx="394">
                  <c:v>39.2</c:v>
                </c:pt>
                <c:pt idx="395">
                  <c:v>39.3</c:v>
                </c:pt>
                <c:pt idx="396">
                  <c:v>39.4</c:v>
                </c:pt>
                <c:pt idx="397">
                  <c:v>39.5</c:v>
                </c:pt>
                <c:pt idx="398">
                  <c:v>39.6</c:v>
                </c:pt>
                <c:pt idx="399">
                  <c:v>39.7</c:v>
                </c:pt>
                <c:pt idx="400">
                  <c:v>39.8</c:v>
                </c:pt>
                <c:pt idx="401">
                  <c:v>39.9</c:v>
                </c:pt>
                <c:pt idx="402">
                  <c:v>40</c:v>
                </c:pt>
                <c:pt idx="403">
                  <c:v>40.1</c:v>
                </c:pt>
                <c:pt idx="404">
                  <c:v>40.2</c:v>
                </c:pt>
                <c:pt idx="405">
                  <c:v>40.3</c:v>
                </c:pt>
                <c:pt idx="406">
                  <c:v>40.4</c:v>
                </c:pt>
                <c:pt idx="407">
                  <c:v>40.5</c:v>
                </c:pt>
                <c:pt idx="408">
                  <c:v>40.6</c:v>
                </c:pt>
                <c:pt idx="409">
                  <c:v>40.7</c:v>
                </c:pt>
                <c:pt idx="410">
                  <c:v>40.8</c:v>
                </c:pt>
                <c:pt idx="411">
                  <c:v>40.9</c:v>
                </c:pt>
                <c:pt idx="412">
                  <c:v>41</c:v>
                </c:pt>
                <c:pt idx="413">
                  <c:v>41.1</c:v>
                </c:pt>
                <c:pt idx="414">
                  <c:v>41.2</c:v>
                </c:pt>
                <c:pt idx="415">
                  <c:v>41.3</c:v>
                </c:pt>
                <c:pt idx="416">
                  <c:v>41.4</c:v>
                </c:pt>
                <c:pt idx="417">
                  <c:v>41.5</c:v>
                </c:pt>
                <c:pt idx="418">
                  <c:v>41.6</c:v>
                </c:pt>
                <c:pt idx="419">
                  <c:v>41.7</c:v>
                </c:pt>
                <c:pt idx="420">
                  <c:v>41.8</c:v>
                </c:pt>
                <c:pt idx="421">
                  <c:v>41.9</c:v>
                </c:pt>
                <c:pt idx="422">
                  <c:v>42</c:v>
                </c:pt>
                <c:pt idx="423">
                  <c:v>42.1</c:v>
                </c:pt>
                <c:pt idx="424">
                  <c:v>42.2</c:v>
                </c:pt>
                <c:pt idx="425">
                  <c:v>42.3</c:v>
                </c:pt>
                <c:pt idx="426">
                  <c:v>42.4</c:v>
                </c:pt>
                <c:pt idx="427">
                  <c:v>42.5</c:v>
                </c:pt>
                <c:pt idx="428">
                  <c:v>42.6</c:v>
                </c:pt>
                <c:pt idx="429">
                  <c:v>42.7</c:v>
                </c:pt>
                <c:pt idx="430">
                  <c:v>42.8</c:v>
                </c:pt>
                <c:pt idx="431">
                  <c:v>42.9</c:v>
                </c:pt>
                <c:pt idx="432">
                  <c:v>43</c:v>
                </c:pt>
                <c:pt idx="433">
                  <c:v>43.1</c:v>
                </c:pt>
                <c:pt idx="434">
                  <c:v>43.2</c:v>
                </c:pt>
                <c:pt idx="435">
                  <c:v>43.3</c:v>
                </c:pt>
                <c:pt idx="436">
                  <c:v>43.4</c:v>
                </c:pt>
                <c:pt idx="437">
                  <c:v>43.5</c:v>
                </c:pt>
                <c:pt idx="438">
                  <c:v>43.6</c:v>
                </c:pt>
                <c:pt idx="439">
                  <c:v>43.7</c:v>
                </c:pt>
                <c:pt idx="440">
                  <c:v>43.8</c:v>
                </c:pt>
                <c:pt idx="441">
                  <c:v>43.9</c:v>
                </c:pt>
                <c:pt idx="442">
                  <c:v>44</c:v>
                </c:pt>
                <c:pt idx="443">
                  <c:v>44.1</c:v>
                </c:pt>
                <c:pt idx="444">
                  <c:v>44.2</c:v>
                </c:pt>
                <c:pt idx="445">
                  <c:v>44.3</c:v>
                </c:pt>
                <c:pt idx="446">
                  <c:v>44.4</c:v>
                </c:pt>
                <c:pt idx="447">
                  <c:v>44.5</c:v>
                </c:pt>
                <c:pt idx="448">
                  <c:v>44.6</c:v>
                </c:pt>
                <c:pt idx="449">
                  <c:v>44.7</c:v>
                </c:pt>
                <c:pt idx="450">
                  <c:v>44.8</c:v>
                </c:pt>
                <c:pt idx="451">
                  <c:v>44.9</c:v>
                </c:pt>
                <c:pt idx="452">
                  <c:v>45</c:v>
                </c:pt>
                <c:pt idx="453">
                  <c:v>45.1</c:v>
                </c:pt>
                <c:pt idx="454">
                  <c:v>45.2</c:v>
                </c:pt>
                <c:pt idx="455">
                  <c:v>45.3</c:v>
                </c:pt>
                <c:pt idx="456">
                  <c:v>45.4</c:v>
                </c:pt>
                <c:pt idx="457">
                  <c:v>45.5</c:v>
                </c:pt>
                <c:pt idx="458">
                  <c:v>45.6</c:v>
                </c:pt>
                <c:pt idx="459">
                  <c:v>45.7</c:v>
                </c:pt>
                <c:pt idx="460">
                  <c:v>45.8</c:v>
                </c:pt>
                <c:pt idx="461">
                  <c:v>45.9</c:v>
                </c:pt>
                <c:pt idx="462">
                  <c:v>46</c:v>
                </c:pt>
                <c:pt idx="463">
                  <c:v>46.1</c:v>
                </c:pt>
                <c:pt idx="464">
                  <c:v>46.2</c:v>
                </c:pt>
                <c:pt idx="465">
                  <c:v>46.3</c:v>
                </c:pt>
                <c:pt idx="466">
                  <c:v>46.4</c:v>
                </c:pt>
                <c:pt idx="467">
                  <c:v>46.5</c:v>
                </c:pt>
                <c:pt idx="468">
                  <c:v>46.6</c:v>
                </c:pt>
                <c:pt idx="469">
                  <c:v>46.7</c:v>
                </c:pt>
                <c:pt idx="470">
                  <c:v>46.8</c:v>
                </c:pt>
                <c:pt idx="471">
                  <c:v>46.9</c:v>
                </c:pt>
                <c:pt idx="472">
                  <c:v>47</c:v>
                </c:pt>
                <c:pt idx="473">
                  <c:v>47.1</c:v>
                </c:pt>
                <c:pt idx="474">
                  <c:v>47.2</c:v>
                </c:pt>
                <c:pt idx="475">
                  <c:v>47.3</c:v>
                </c:pt>
                <c:pt idx="476">
                  <c:v>47.4</c:v>
                </c:pt>
                <c:pt idx="477">
                  <c:v>47.5</c:v>
                </c:pt>
                <c:pt idx="478">
                  <c:v>47.6</c:v>
                </c:pt>
                <c:pt idx="479">
                  <c:v>47.7</c:v>
                </c:pt>
                <c:pt idx="480">
                  <c:v>47.8</c:v>
                </c:pt>
                <c:pt idx="481">
                  <c:v>47.9</c:v>
                </c:pt>
                <c:pt idx="482">
                  <c:v>48</c:v>
                </c:pt>
                <c:pt idx="483">
                  <c:v>48.1</c:v>
                </c:pt>
                <c:pt idx="484">
                  <c:v>48.2</c:v>
                </c:pt>
                <c:pt idx="485">
                  <c:v>48.3</c:v>
                </c:pt>
                <c:pt idx="486">
                  <c:v>48.4</c:v>
                </c:pt>
                <c:pt idx="487">
                  <c:v>48.5</c:v>
                </c:pt>
                <c:pt idx="488">
                  <c:v>48.6</c:v>
                </c:pt>
                <c:pt idx="489">
                  <c:v>48.7</c:v>
                </c:pt>
                <c:pt idx="490">
                  <c:v>48.8</c:v>
                </c:pt>
                <c:pt idx="491">
                  <c:v>48.9</c:v>
                </c:pt>
                <c:pt idx="492">
                  <c:v>49</c:v>
                </c:pt>
                <c:pt idx="493">
                  <c:v>49.1</c:v>
                </c:pt>
                <c:pt idx="494">
                  <c:v>49.2</c:v>
                </c:pt>
                <c:pt idx="495">
                  <c:v>49.3</c:v>
                </c:pt>
                <c:pt idx="496">
                  <c:v>49.4</c:v>
                </c:pt>
                <c:pt idx="497">
                  <c:v>49.5</c:v>
                </c:pt>
                <c:pt idx="498">
                  <c:v>49.6</c:v>
                </c:pt>
                <c:pt idx="499">
                  <c:v>49.7</c:v>
                </c:pt>
                <c:pt idx="500">
                  <c:v>49.8</c:v>
                </c:pt>
                <c:pt idx="501">
                  <c:v>49.9</c:v>
                </c:pt>
                <c:pt idx="502">
                  <c:v>50</c:v>
                </c:pt>
                <c:pt idx="503">
                  <c:v>50.1</c:v>
                </c:pt>
                <c:pt idx="504">
                  <c:v>50.2</c:v>
                </c:pt>
                <c:pt idx="505">
                  <c:v>50.3</c:v>
                </c:pt>
                <c:pt idx="506">
                  <c:v>50.4</c:v>
                </c:pt>
                <c:pt idx="507">
                  <c:v>50.5</c:v>
                </c:pt>
                <c:pt idx="508">
                  <c:v>50.6</c:v>
                </c:pt>
                <c:pt idx="509">
                  <c:v>50.7</c:v>
                </c:pt>
                <c:pt idx="510">
                  <c:v>50.8</c:v>
                </c:pt>
                <c:pt idx="511">
                  <c:v>50.9</c:v>
                </c:pt>
                <c:pt idx="512">
                  <c:v>51</c:v>
                </c:pt>
                <c:pt idx="513">
                  <c:v>51.1</c:v>
                </c:pt>
                <c:pt idx="514">
                  <c:v>51.2</c:v>
                </c:pt>
                <c:pt idx="515">
                  <c:v>51.3</c:v>
                </c:pt>
                <c:pt idx="516">
                  <c:v>51.4</c:v>
                </c:pt>
                <c:pt idx="517">
                  <c:v>51.5</c:v>
                </c:pt>
                <c:pt idx="518">
                  <c:v>51.6</c:v>
                </c:pt>
                <c:pt idx="519">
                  <c:v>51.7</c:v>
                </c:pt>
                <c:pt idx="520">
                  <c:v>51.8</c:v>
                </c:pt>
                <c:pt idx="521">
                  <c:v>51.9</c:v>
                </c:pt>
                <c:pt idx="522">
                  <c:v>52</c:v>
                </c:pt>
                <c:pt idx="523">
                  <c:v>52.1</c:v>
                </c:pt>
                <c:pt idx="524">
                  <c:v>52.2</c:v>
                </c:pt>
                <c:pt idx="525">
                  <c:v>52.3</c:v>
                </c:pt>
                <c:pt idx="526">
                  <c:v>52.4</c:v>
                </c:pt>
                <c:pt idx="527">
                  <c:v>52.5</c:v>
                </c:pt>
                <c:pt idx="528">
                  <c:v>52.6</c:v>
                </c:pt>
                <c:pt idx="529">
                  <c:v>52.7</c:v>
                </c:pt>
                <c:pt idx="530">
                  <c:v>52.8</c:v>
                </c:pt>
                <c:pt idx="531">
                  <c:v>52.9</c:v>
                </c:pt>
                <c:pt idx="532">
                  <c:v>53</c:v>
                </c:pt>
                <c:pt idx="533">
                  <c:v>53.1</c:v>
                </c:pt>
                <c:pt idx="534">
                  <c:v>53.2</c:v>
                </c:pt>
                <c:pt idx="535">
                  <c:v>53.3</c:v>
                </c:pt>
                <c:pt idx="536">
                  <c:v>53.4</c:v>
                </c:pt>
                <c:pt idx="537">
                  <c:v>53.5</c:v>
                </c:pt>
                <c:pt idx="538">
                  <c:v>53.6</c:v>
                </c:pt>
                <c:pt idx="539">
                  <c:v>53.7</c:v>
                </c:pt>
                <c:pt idx="540">
                  <c:v>53.8</c:v>
                </c:pt>
                <c:pt idx="541">
                  <c:v>53.9</c:v>
                </c:pt>
                <c:pt idx="542">
                  <c:v>54</c:v>
                </c:pt>
                <c:pt idx="543">
                  <c:v>54.1</c:v>
                </c:pt>
                <c:pt idx="544">
                  <c:v>54.2</c:v>
                </c:pt>
                <c:pt idx="545">
                  <c:v>54.3</c:v>
                </c:pt>
                <c:pt idx="546">
                  <c:v>54.4</c:v>
                </c:pt>
                <c:pt idx="547">
                  <c:v>54.5</c:v>
                </c:pt>
                <c:pt idx="548">
                  <c:v>54.6</c:v>
                </c:pt>
                <c:pt idx="549">
                  <c:v>54.7</c:v>
                </c:pt>
                <c:pt idx="550">
                  <c:v>54.8</c:v>
                </c:pt>
                <c:pt idx="551">
                  <c:v>54.9</c:v>
                </c:pt>
                <c:pt idx="552">
                  <c:v>55</c:v>
                </c:pt>
                <c:pt idx="553">
                  <c:v>55.1</c:v>
                </c:pt>
                <c:pt idx="554">
                  <c:v>55.2</c:v>
                </c:pt>
                <c:pt idx="555">
                  <c:v>55.3</c:v>
                </c:pt>
                <c:pt idx="556">
                  <c:v>55.4</c:v>
                </c:pt>
                <c:pt idx="557">
                  <c:v>55.5</c:v>
                </c:pt>
                <c:pt idx="558">
                  <c:v>55.6</c:v>
                </c:pt>
                <c:pt idx="559">
                  <c:v>55.7</c:v>
                </c:pt>
                <c:pt idx="560">
                  <c:v>55.8</c:v>
                </c:pt>
                <c:pt idx="561">
                  <c:v>55.9</c:v>
                </c:pt>
                <c:pt idx="562">
                  <c:v>56</c:v>
                </c:pt>
                <c:pt idx="563">
                  <c:v>56.1</c:v>
                </c:pt>
                <c:pt idx="564">
                  <c:v>56.2</c:v>
                </c:pt>
                <c:pt idx="565">
                  <c:v>56.3</c:v>
                </c:pt>
                <c:pt idx="566">
                  <c:v>56.4</c:v>
                </c:pt>
                <c:pt idx="567">
                  <c:v>56.5</c:v>
                </c:pt>
                <c:pt idx="568">
                  <c:v>56.6</c:v>
                </c:pt>
                <c:pt idx="569">
                  <c:v>56.7</c:v>
                </c:pt>
                <c:pt idx="570">
                  <c:v>56.8</c:v>
                </c:pt>
                <c:pt idx="571">
                  <c:v>56.9</c:v>
                </c:pt>
                <c:pt idx="572">
                  <c:v>57</c:v>
                </c:pt>
                <c:pt idx="573">
                  <c:v>57.1</c:v>
                </c:pt>
                <c:pt idx="574">
                  <c:v>57.2</c:v>
                </c:pt>
                <c:pt idx="575">
                  <c:v>57.3</c:v>
                </c:pt>
                <c:pt idx="576">
                  <c:v>57.4</c:v>
                </c:pt>
                <c:pt idx="577">
                  <c:v>57.5</c:v>
                </c:pt>
                <c:pt idx="578">
                  <c:v>57.6</c:v>
                </c:pt>
                <c:pt idx="579">
                  <c:v>57.7</c:v>
                </c:pt>
                <c:pt idx="580">
                  <c:v>57.8</c:v>
                </c:pt>
                <c:pt idx="581">
                  <c:v>57.9</c:v>
                </c:pt>
                <c:pt idx="582">
                  <c:v>58</c:v>
                </c:pt>
                <c:pt idx="583">
                  <c:v>58.1</c:v>
                </c:pt>
                <c:pt idx="584">
                  <c:v>58.2</c:v>
                </c:pt>
                <c:pt idx="585">
                  <c:v>58.3</c:v>
                </c:pt>
                <c:pt idx="586">
                  <c:v>58.4</c:v>
                </c:pt>
                <c:pt idx="587">
                  <c:v>58.5</c:v>
                </c:pt>
                <c:pt idx="588">
                  <c:v>58.6</c:v>
                </c:pt>
                <c:pt idx="589">
                  <c:v>58.7</c:v>
                </c:pt>
                <c:pt idx="590">
                  <c:v>58.8</c:v>
                </c:pt>
                <c:pt idx="591">
                  <c:v>58.9</c:v>
                </c:pt>
                <c:pt idx="592">
                  <c:v>59</c:v>
                </c:pt>
                <c:pt idx="593">
                  <c:v>59.1</c:v>
                </c:pt>
                <c:pt idx="594">
                  <c:v>59.2</c:v>
                </c:pt>
                <c:pt idx="595">
                  <c:v>59.3</c:v>
                </c:pt>
                <c:pt idx="596">
                  <c:v>59.4</c:v>
                </c:pt>
                <c:pt idx="597">
                  <c:v>59.5</c:v>
                </c:pt>
                <c:pt idx="598">
                  <c:v>59.6</c:v>
                </c:pt>
                <c:pt idx="599">
                  <c:v>59.7</c:v>
                </c:pt>
                <c:pt idx="600">
                  <c:v>59.8</c:v>
                </c:pt>
                <c:pt idx="601">
                  <c:v>59.9</c:v>
                </c:pt>
                <c:pt idx="602">
                  <c:v>60</c:v>
                </c:pt>
                <c:pt idx="603">
                  <c:v>60.1</c:v>
                </c:pt>
                <c:pt idx="604">
                  <c:v>60.2</c:v>
                </c:pt>
                <c:pt idx="605">
                  <c:v>60.3</c:v>
                </c:pt>
                <c:pt idx="606">
                  <c:v>60.4</c:v>
                </c:pt>
                <c:pt idx="607">
                  <c:v>60.5</c:v>
                </c:pt>
                <c:pt idx="608">
                  <c:v>60.6</c:v>
                </c:pt>
                <c:pt idx="609">
                  <c:v>60.7</c:v>
                </c:pt>
                <c:pt idx="610">
                  <c:v>60.8</c:v>
                </c:pt>
                <c:pt idx="611">
                  <c:v>60.9</c:v>
                </c:pt>
                <c:pt idx="612">
                  <c:v>61</c:v>
                </c:pt>
                <c:pt idx="613">
                  <c:v>61.1</c:v>
                </c:pt>
                <c:pt idx="614">
                  <c:v>61.2</c:v>
                </c:pt>
                <c:pt idx="615">
                  <c:v>61.3</c:v>
                </c:pt>
                <c:pt idx="616">
                  <c:v>61.4</c:v>
                </c:pt>
                <c:pt idx="617">
                  <c:v>61.5</c:v>
                </c:pt>
                <c:pt idx="618">
                  <c:v>61.6</c:v>
                </c:pt>
                <c:pt idx="619">
                  <c:v>61.7</c:v>
                </c:pt>
                <c:pt idx="620">
                  <c:v>61.8</c:v>
                </c:pt>
                <c:pt idx="621">
                  <c:v>61.9</c:v>
                </c:pt>
                <c:pt idx="622">
                  <c:v>62</c:v>
                </c:pt>
                <c:pt idx="623">
                  <c:v>62.1</c:v>
                </c:pt>
                <c:pt idx="624">
                  <c:v>62.2</c:v>
                </c:pt>
                <c:pt idx="625">
                  <c:v>62.3</c:v>
                </c:pt>
                <c:pt idx="626">
                  <c:v>62.4</c:v>
                </c:pt>
                <c:pt idx="627">
                  <c:v>62.5</c:v>
                </c:pt>
                <c:pt idx="628">
                  <c:v>62.6</c:v>
                </c:pt>
                <c:pt idx="629">
                  <c:v>62.7</c:v>
                </c:pt>
                <c:pt idx="630">
                  <c:v>62.8</c:v>
                </c:pt>
                <c:pt idx="631">
                  <c:v>62.9</c:v>
                </c:pt>
                <c:pt idx="632">
                  <c:v>63</c:v>
                </c:pt>
                <c:pt idx="633">
                  <c:v>63.1</c:v>
                </c:pt>
                <c:pt idx="634">
                  <c:v>63.2</c:v>
                </c:pt>
                <c:pt idx="635">
                  <c:v>63.3</c:v>
                </c:pt>
                <c:pt idx="636">
                  <c:v>63.4</c:v>
                </c:pt>
                <c:pt idx="637">
                  <c:v>63.5</c:v>
                </c:pt>
                <c:pt idx="638">
                  <c:v>63.6</c:v>
                </c:pt>
                <c:pt idx="639">
                  <c:v>63.7</c:v>
                </c:pt>
                <c:pt idx="640">
                  <c:v>63.8</c:v>
                </c:pt>
                <c:pt idx="641">
                  <c:v>63.9</c:v>
                </c:pt>
                <c:pt idx="642">
                  <c:v>64</c:v>
                </c:pt>
                <c:pt idx="643">
                  <c:v>64.1</c:v>
                </c:pt>
                <c:pt idx="644">
                  <c:v>64.2</c:v>
                </c:pt>
                <c:pt idx="645">
                  <c:v>64.3</c:v>
                </c:pt>
                <c:pt idx="646">
                  <c:v>64.4</c:v>
                </c:pt>
                <c:pt idx="647">
                  <c:v>64.5</c:v>
                </c:pt>
                <c:pt idx="648">
                  <c:v>64.6</c:v>
                </c:pt>
                <c:pt idx="649">
                  <c:v>64.7</c:v>
                </c:pt>
                <c:pt idx="650">
                  <c:v>64.8</c:v>
                </c:pt>
                <c:pt idx="651">
                  <c:v>64.9</c:v>
                </c:pt>
                <c:pt idx="652">
                  <c:v>65</c:v>
                </c:pt>
                <c:pt idx="653">
                  <c:v>65.1</c:v>
                </c:pt>
                <c:pt idx="654">
                  <c:v>65.2</c:v>
                </c:pt>
                <c:pt idx="655">
                  <c:v>65.3</c:v>
                </c:pt>
                <c:pt idx="656">
                  <c:v>65.4</c:v>
                </c:pt>
                <c:pt idx="657">
                  <c:v>65.5</c:v>
                </c:pt>
                <c:pt idx="658">
                  <c:v>65.6</c:v>
                </c:pt>
                <c:pt idx="659">
                  <c:v>65.7</c:v>
                </c:pt>
                <c:pt idx="660">
                  <c:v>65.8</c:v>
                </c:pt>
                <c:pt idx="661">
                  <c:v>65.9</c:v>
                </c:pt>
                <c:pt idx="662">
                  <c:v>66</c:v>
                </c:pt>
                <c:pt idx="663">
                  <c:v>66.1</c:v>
                </c:pt>
                <c:pt idx="664">
                  <c:v>66.2</c:v>
                </c:pt>
                <c:pt idx="665">
                  <c:v>66.3</c:v>
                </c:pt>
                <c:pt idx="666">
                  <c:v>66.4</c:v>
                </c:pt>
                <c:pt idx="667">
                  <c:v>66.5</c:v>
                </c:pt>
                <c:pt idx="668">
                  <c:v>66.6</c:v>
                </c:pt>
                <c:pt idx="669">
                  <c:v>66.7</c:v>
                </c:pt>
                <c:pt idx="670">
                  <c:v>66.8</c:v>
                </c:pt>
                <c:pt idx="671">
                  <c:v>66.9</c:v>
                </c:pt>
                <c:pt idx="672">
                  <c:v>67</c:v>
                </c:pt>
                <c:pt idx="673">
                  <c:v>67.1</c:v>
                </c:pt>
                <c:pt idx="674">
                  <c:v>67.2</c:v>
                </c:pt>
                <c:pt idx="675">
                  <c:v>67.3</c:v>
                </c:pt>
                <c:pt idx="676">
                  <c:v>67.4</c:v>
                </c:pt>
                <c:pt idx="677">
                  <c:v>67.5</c:v>
                </c:pt>
                <c:pt idx="678">
                  <c:v>67.6</c:v>
                </c:pt>
                <c:pt idx="679">
                  <c:v>67.7</c:v>
                </c:pt>
                <c:pt idx="680">
                  <c:v>67.8</c:v>
                </c:pt>
                <c:pt idx="681">
                  <c:v>67.9</c:v>
                </c:pt>
                <c:pt idx="682">
                  <c:v>68</c:v>
                </c:pt>
                <c:pt idx="683">
                  <c:v>68.1</c:v>
                </c:pt>
                <c:pt idx="684">
                  <c:v>68.2</c:v>
                </c:pt>
                <c:pt idx="685">
                  <c:v>68.3</c:v>
                </c:pt>
                <c:pt idx="686">
                  <c:v>68.4</c:v>
                </c:pt>
                <c:pt idx="687">
                  <c:v>68.5</c:v>
                </c:pt>
                <c:pt idx="688">
                  <c:v>68.6</c:v>
                </c:pt>
                <c:pt idx="689">
                  <c:v>68.7</c:v>
                </c:pt>
                <c:pt idx="690">
                  <c:v>68.8</c:v>
                </c:pt>
                <c:pt idx="691">
                  <c:v>68.9</c:v>
                </c:pt>
                <c:pt idx="692">
                  <c:v>69</c:v>
                </c:pt>
                <c:pt idx="693">
                  <c:v>69.1</c:v>
                </c:pt>
                <c:pt idx="694">
                  <c:v>69.2</c:v>
                </c:pt>
                <c:pt idx="695">
                  <c:v>69.3</c:v>
                </c:pt>
                <c:pt idx="696">
                  <c:v>69.4</c:v>
                </c:pt>
                <c:pt idx="697">
                  <c:v>69.5</c:v>
                </c:pt>
                <c:pt idx="698">
                  <c:v>69.6</c:v>
                </c:pt>
                <c:pt idx="699">
                  <c:v>69.7</c:v>
                </c:pt>
                <c:pt idx="700">
                  <c:v>69.8</c:v>
                </c:pt>
                <c:pt idx="701">
                  <c:v>69.9</c:v>
                </c:pt>
                <c:pt idx="702">
                  <c:v>70</c:v>
                </c:pt>
                <c:pt idx="703">
                  <c:v>70.1</c:v>
                </c:pt>
                <c:pt idx="704">
                  <c:v>70.2</c:v>
                </c:pt>
                <c:pt idx="705">
                  <c:v>70.3</c:v>
                </c:pt>
                <c:pt idx="706">
                  <c:v>70.4</c:v>
                </c:pt>
                <c:pt idx="707">
                  <c:v>70.5</c:v>
                </c:pt>
                <c:pt idx="708">
                  <c:v>70.6</c:v>
                </c:pt>
                <c:pt idx="709">
                  <c:v>70.7</c:v>
                </c:pt>
                <c:pt idx="710">
                  <c:v>70.8</c:v>
                </c:pt>
                <c:pt idx="711">
                  <c:v>70.9</c:v>
                </c:pt>
                <c:pt idx="712">
                  <c:v>71</c:v>
                </c:pt>
                <c:pt idx="713">
                  <c:v>71.1</c:v>
                </c:pt>
                <c:pt idx="714">
                  <c:v>71.2</c:v>
                </c:pt>
                <c:pt idx="715">
                  <c:v>71.3</c:v>
                </c:pt>
                <c:pt idx="716">
                  <c:v>71.4</c:v>
                </c:pt>
                <c:pt idx="717">
                  <c:v>71.5</c:v>
                </c:pt>
                <c:pt idx="718">
                  <c:v>71.6</c:v>
                </c:pt>
                <c:pt idx="719">
                  <c:v>71.7</c:v>
                </c:pt>
                <c:pt idx="720">
                  <c:v>71.8</c:v>
                </c:pt>
                <c:pt idx="721">
                  <c:v>71.9</c:v>
                </c:pt>
                <c:pt idx="722">
                  <c:v>72</c:v>
                </c:pt>
                <c:pt idx="723">
                  <c:v>72.1</c:v>
                </c:pt>
                <c:pt idx="724">
                  <c:v>72.2</c:v>
                </c:pt>
                <c:pt idx="725">
                  <c:v>72.3</c:v>
                </c:pt>
                <c:pt idx="726">
                  <c:v>72.4</c:v>
                </c:pt>
                <c:pt idx="727">
                  <c:v>72.5</c:v>
                </c:pt>
                <c:pt idx="728">
                  <c:v>72.6</c:v>
                </c:pt>
                <c:pt idx="729">
                  <c:v>72.7</c:v>
                </c:pt>
                <c:pt idx="730">
                  <c:v>72.8</c:v>
                </c:pt>
                <c:pt idx="731">
                  <c:v>72.9</c:v>
                </c:pt>
                <c:pt idx="732">
                  <c:v>73</c:v>
                </c:pt>
                <c:pt idx="733">
                  <c:v>73.1</c:v>
                </c:pt>
                <c:pt idx="734">
                  <c:v>73.2</c:v>
                </c:pt>
                <c:pt idx="735">
                  <c:v>73.3</c:v>
                </c:pt>
                <c:pt idx="736">
                  <c:v>73.4</c:v>
                </c:pt>
                <c:pt idx="737">
                  <c:v>73.5</c:v>
                </c:pt>
                <c:pt idx="738">
                  <c:v>73.6</c:v>
                </c:pt>
                <c:pt idx="739">
                  <c:v>73.7</c:v>
                </c:pt>
                <c:pt idx="740">
                  <c:v>73.8</c:v>
                </c:pt>
                <c:pt idx="741">
                  <c:v>73.9</c:v>
                </c:pt>
                <c:pt idx="742">
                  <c:v>74</c:v>
                </c:pt>
                <c:pt idx="743">
                  <c:v>74.1</c:v>
                </c:pt>
                <c:pt idx="744">
                  <c:v>74.2</c:v>
                </c:pt>
                <c:pt idx="745">
                  <c:v>74.3</c:v>
                </c:pt>
                <c:pt idx="746">
                  <c:v>74.4</c:v>
                </c:pt>
                <c:pt idx="747">
                  <c:v>74.5</c:v>
                </c:pt>
                <c:pt idx="748">
                  <c:v>74.6</c:v>
                </c:pt>
                <c:pt idx="749">
                  <c:v>74.7</c:v>
                </c:pt>
                <c:pt idx="750">
                  <c:v>74.8</c:v>
                </c:pt>
                <c:pt idx="751">
                  <c:v>74.9</c:v>
                </c:pt>
                <c:pt idx="752">
                  <c:v>75</c:v>
                </c:pt>
                <c:pt idx="753">
                  <c:v>75.1</c:v>
                </c:pt>
                <c:pt idx="754">
                  <c:v>75.2</c:v>
                </c:pt>
                <c:pt idx="755">
                  <c:v>75.3</c:v>
                </c:pt>
                <c:pt idx="756">
                  <c:v>75.4</c:v>
                </c:pt>
                <c:pt idx="757">
                  <c:v>75.5</c:v>
                </c:pt>
                <c:pt idx="758">
                  <c:v>75.6</c:v>
                </c:pt>
                <c:pt idx="759">
                  <c:v>75.7</c:v>
                </c:pt>
                <c:pt idx="760">
                  <c:v>75.8</c:v>
                </c:pt>
                <c:pt idx="761">
                  <c:v>75.9</c:v>
                </c:pt>
                <c:pt idx="762">
                  <c:v>76</c:v>
                </c:pt>
                <c:pt idx="763">
                  <c:v>76.1</c:v>
                </c:pt>
                <c:pt idx="764">
                  <c:v>76.2</c:v>
                </c:pt>
                <c:pt idx="765">
                  <c:v>76.3</c:v>
                </c:pt>
                <c:pt idx="766">
                  <c:v>76.4</c:v>
                </c:pt>
                <c:pt idx="767">
                  <c:v>76.5</c:v>
                </c:pt>
                <c:pt idx="768">
                  <c:v>76.6</c:v>
                </c:pt>
                <c:pt idx="769">
                  <c:v>76.7</c:v>
                </c:pt>
                <c:pt idx="770">
                  <c:v>76.8</c:v>
                </c:pt>
                <c:pt idx="771">
                  <c:v>76.9</c:v>
                </c:pt>
                <c:pt idx="772">
                  <c:v>77</c:v>
                </c:pt>
                <c:pt idx="773">
                  <c:v>77.1</c:v>
                </c:pt>
                <c:pt idx="774">
                  <c:v>77.2</c:v>
                </c:pt>
                <c:pt idx="775">
                  <c:v>77.3</c:v>
                </c:pt>
                <c:pt idx="776">
                  <c:v>77.4</c:v>
                </c:pt>
                <c:pt idx="777">
                  <c:v>77.5</c:v>
                </c:pt>
                <c:pt idx="778">
                  <c:v>77.6</c:v>
                </c:pt>
                <c:pt idx="779">
                  <c:v>77.7</c:v>
                </c:pt>
                <c:pt idx="780">
                  <c:v>77.8</c:v>
                </c:pt>
                <c:pt idx="781">
                  <c:v>77.9</c:v>
                </c:pt>
                <c:pt idx="782">
                  <c:v>78</c:v>
                </c:pt>
                <c:pt idx="783">
                  <c:v>78.1</c:v>
                </c:pt>
                <c:pt idx="784">
                  <c:v>78.2</c:v>
                </c:pt>
                <c:pt idx="785">
                  <c:v>78.3</c:v>
                </c:pt>
                <c:pt idx="786">
                  <c:v>78.4</c:v>
                </c:pt>
                <c:pt idx="787">
                  <c:v>78.5</c:v>
                </c:pt>
                <c:pt idx="788">
                  <c:v>78.6</c:v>
                </c:pt>
                <c:pt idx="789">
                  <c:v>78.7</c:v>
                </c:pt>
                <c:pt idx="790">
                  <c:v>78.8</c:v>
                </c:pt>
                <c:pt idx="791">
                  <c:v>78.9</c:v>
                </c:pt>
                <c:pt idx="792">
                  <c:v>79</c:v>
                </c:pt>
                <c:pt idx="793">
                  <c:v>79.1</c:v>
                </c:pt>
                <c:pt idx="794">
                  <c:v>79.2</c:v>
                </c:pt>
                <c:pt idx="795">
                  <c:v>79.3</c:v>
                </c:pt>
                <c:pt idx="796">
                  <c:v>79.4</c:v>
                </c:pt>
                <c:pt idx="797">
                  <c:v>79.5</c:v>
                </c:pt>
                <c:pt idx="798">
                  <c:v>79.6</c:v>
                </c:pt>
                <c:pt idx="799">
                  <c:v>79.7</c:v>
                </c:pt>
                <c:pt idx="800">
                  <c:v>79.8</c:v>
                </c:pt>
                <c:pt idx="801">
                  <c:v>79.9</c:v>
                </c:pt>
                <c:pt idx="802">
                  <c:v>80</c:v>
                </c:pt>
                <c:pt idx="803">
                  <c:v>80.1</c:v>
                </c:pt>
                <c:pt idx="804">
                  <c:v>80.2</c:v>
                </c:pt>
                <c:pt idx="805">
                  <c:v>80.3</c:v>
                </c:pt>
                <c:pt idx="806">
                  <c:v>80.4</c:v>
                </c:pt>
                <c:pt idx="807">
                  <c:v>80.5</c:v>
                </c:pt>
                <c:pt idx="808">
                  <c:v>80.6</c:v>
                </c:pt>
                <c:pt idx="809">
                  <c:v>80.7</c:v>
                </c:pt>
                <c:pt idx="810">
                  <c:v>80.8</c:v>
                </c:pt>
                <c:pt idx="811">
                  <c:v>80.9</c:v>
                </c:pt>
                <c:pt idx="812">
                  <c:v>81</c:v>
                </c:pt>
                <c:pt idx="813">
                  <c:v>81.1</c:v>
                </c:pt>
                <c:pt idx="814">
                  <c:v>81.2</c:v>
                </c:pt>
                <c:pt idx="815">
                  <c:v>81.3</c:v>
                </c:pt>
                <c:pt idx="816">
                  <c:v>81.4</c:v>
                </c:pt>
                <c:pt idx="817">
                  <c:v>81.5</c:v>
                </c:pt>
                <c:pt idx="818">
                  <c:v>81.6</c:v>
                </c:pt>
                <c:pt idx="819">
                  <c:v>81.7</c:v>
                </c:pt>
                <c:pt idx="820">
                  <c:v>81.8</c:v>
                </c:pt>
                <c:pt idx="821">
                  <c:v>81.9</c:v>
                </c:pt>
                <c:pt idx="822">
                  <c:v>82</c:v>
                </c:pt>
                <c:pt idx="823">
                  <c:v>82.1</c:v>
                </c:pt>
                <c:pt idx="824">
                  <c:v>82.2</c:v>
                </c:pt>
                <c:pt idx="825">
                  <c:v>82.3</c:v>
                </c:pt>
                <c:pt idx="826">
                  <c:v>82.4</c:v>
                </c:pt>
                <c:pt idx="827">
                  <c:v>82.5</c:v>
                </c:pt>
                <c:pt idx="828">
                  <c:v>82.6</c:v>
                </c:pt>
                <c:pt idx="829">
                  <c:v>82.7</c:v>
                </c:pt>
                <c:pt idx="830">
                  <c:v>82.8</c:v>
                </c:pt>
                <c:pt idx="831">
                  <c:v>82.9</c:v>
                </c:pt>
                <c:pt idx="832">
                  <c:v>83</c:v>
                </c:pt>
                <c:pt idx="833">
                  <c:v>83.1</c:v>
                </c:pt>
                <c:pt idx="834">
                  <c:v>83.2</c:v>
                </c:pt>
                <c:pt idx="835">
                  <c:v>83.3</c:v>
                </c:pt>
                <c:pt idx="836">
                  <c:v>83.4</c:v>
                </c:pt>
                <c:pt idx="837">
                  <c:v>83.5</c:v>
                </c:pt>
                <c:pt idx="838">
                  <c:v>83.6</c:v>
                </c:pt>
                <c:pt idx="839">
                  <c:v>83.7</c:v>
                </c:pt>
                <c:pt idx="840">
                  <c:v>83.8</c:v>
                </c:pt>
                <c:pt idx="841">
                  <c:v>83.9</c:v>
                </c:pt>
                <c:pt idx="842">
                  <c:v>84</c:v>
                </c:pt>
                <c:pt idx="843">
                  <c:v>84.1</c:v>
                </c:pt>
                <c:pt idx="844">
                  <c:v>84.2</c:v>
                </c:pt>
                <c:pt idx="845">
                  <c:v>84.3</c:v>
                </c:pt>
                <c:pt idx="846">
                  <c:v>84.4</c:v>
                </c:pt>
                <c:pt idx="847">
                  <c:v>84.5</c:v>
                </c:pt>
                <c:pt idx="848">
                  <c:v>84.6</c:v>
                </c:pt>
                <c:pt idx="849">
                  <c:v>84.7</c:v>
                </c:pt>
                <c:pt idx="850">
                  <c:v>84.8</c:v>
                </c:pt>
                <c:pt idx="851">
                  <c:v>84.9</c:v>
                </c:pt>
                <c:pt idx="852">
                  <c:v>85</c:v>
                </c:pt>
                <c:pt idx="853">
                  <c:v>85.1</c:v>
                </c:pt>
                <c:pt idx="854">
                  <c:v>85.2</c:v>
                </c:pt>
                <c:pt idx="855">
                  <c:v>85.3</c:v>
                </c:pt>
                <c:pt idx="856">
                  <c:v>85.4</c:v>
                </c:pt>
                <c:pt idx="857">
                  <c:v>85.5</c:v>
                </c:pt>
                <c:pt idx="858">
                  <c:v>85.6</c:v>
                </c:pt>
                <c:pt idx="859">
                  <c:v>85.7</c:v>
                </c:pt>
                <c:pt idx="860">
                  <c:v>85.8</c:v>
                </c:pt>
                <c:pt idx="861">
                  <c:v>85.9</c:v>
                </c:pt>
                <c:pt idx="862">
                  <c:v>86</c:v>
                </c:pt>
                <c:pt idx="863">
                  <c:v>86.1</c:v>
                </c:pt>
                <c:pt idx="864">
                  <c:v>86.2</c:v>
                </c:pt>
                <c:pt idx="865">
                  <c:v>86.3</c:v>
                </c:pt>
                <c:pt idx="866">
                  <c:v>86.4</c:v>
                </c:pt>
                <c:pt idx="867">
                  <c:v>86.5</c:v>
                </c:pt>
                <c:pt idx="868">
                  <c:v>86.6</c:v>
                </c:pt>
                <c:pt idx="869">
                  <c:v>86.7</c:v>
                </c:pt>
                <c:pt idx="870">
                  <c:v>86.8</c:v>
                </c:pt>
                <c:pt idx="871">
                  <c:v>86.9</c:v>
                </c:pt>
                <c:pt idx="872">
                  <c:v>87</c:v>
                </c:pt>
                <c:pt idx="873">
                  <c:v>87.1</c:v>
                </c:pt>
                <c:pt idx="874">
                  <c:v>87.2</c:v>
                </c:pt>
                <c:pt idx="875">
                  <c:v>87.3</c:v>
                </c:pt>
                <c:pt idx="876">
                  <c:v>87.4</c:v>
                </c:pt>
                <c:pt idx="877">
                  <c:v>87.5</c:v>
                </c:pt>
                <c:pt idx="878">
                  <c:v>87.6</c:v>
                </c:pt>
                <c:pt idx="879">
                  <c:v>87.7</c:v>
                </c:pt>
                <c:pt idx="880">
                  <c:v>87.8</c:v>
                </c:pt>
                <c:pt idx="881">
                  <c:v>87.9</c:v>
                </c:pt>
                <c:pt idx="882">
                  <c:v>88</c:v>
                </c:pt>
                <c:pt idx="883">
                  <c:v>88.1</c:v>
                </c:pt>
                <c:pt idx="884">
                  <c:v>88.2</c:v>
                </c:pt>
                <c:pt idx="885">
                  <c:v>88.3</c:v>
                </c:pt>
                <c:pt idx="886">
                  <c:v>88.4</c:v>
                </c:pt>
                <c:pt idx="887">
                  <c:v>88.5</c:v>
                </c:pt>
                <c:pt idx="888">
                  <c:v>88.6</c:v>
                </c:pt>
                <c:pt idx="889">
                  <c:v>88.7</c:v>
                </c:pt>
                <c:pt idx="890">
                  <c:v>88.8</c:v>
                </c:pt>
                <c:pt idx="891">
                  <c:v>88.9</c:v>
                </c:pt>
                <c:pt idx="892">
                  <c:v>89</c:v>
                </c:pt>
                <c:pt idx="893">
                  <c:v>89.1</c:v>
                </c:pt>
                <c:pt idx="894">
                  <c:v>89.2</c:v>
                </c:pt>
                <c:pt idx="895">
                  <c:v>89.3</c:v>
                </c:pt>
                <c:pt idx="896">
                  <c:v>89.4</c:v>
                </c:pt>
                <c:pt idx="897">
                  <c:v>89.5</c:v>
                </c:pt>
                <c:pt idx="898">
                  <c:v>89.6</c:v>
                </c:pt>
                <c:pt idx="899">
                  <c:v>89.7</c:v>
                </c:pt>
                <c:pt idx="900">
                  <c:v>89.8</c:v>
                </c:pt>
                <c:pt idx="901">
                  <c:v>89.9</c:v>
                </c:pt>
                <c:pt idx="902">
                  <c:v>90</c:v>
                </c:pt>
                <c:pt idx="903">
                  <c:v>90.1</c:v>
                </c:pt>
                <c:pt idx="904">
                  <c:v>90.2</c:v>
                </c:pt>
                <c:pt idx="905">
                  <c:v>90.3</c:v>
                </c:pt>
                <c:pt idx="906">
                  <c:v>90.4</c:v>
                </c:pt>
                <c:pt idx="907">
                  <c:v>90.5</c:v>
                </c:pt>
                <c:pt idx="908">
                  <c:v>90.6</c:v>
                </c:pt>
                <c:pt idx="909">
                  <c:v>90.7</c:v>
                </c:pt>
                <c:pt idx="910">
                  <c:v>90.8</c:v>
                </c:pt>
                <c:pt idx="911">
                  <c:v>90.9</c:v>
                </c:pt>
                <c:pt idx="912">
                  <c:v>91</c:v>
                </c:pt>
                <c:pt idx="913">
                  <c:v>91.1</c:v>
                </c:pt>
                <c:pt idx="914">
                  <c:v>91.2</c:v>
                </c:pt>
                <c:pt idx="915">
                  <c:v>91.3</c:v>
                </c:pt>
                <c:pt idx="916">
                  <c:v>91.4</c:v>
                </c:pt>
                <c:pt idx="917">
                  <c:v>91.5</c:v>
                </c:pt>
                <c:pt idx="918">
                  <c:v>91.6</c:v>
                </c:pt>
                <c:pt idx="919">
                  <c:v>91.7</c:v>
                </c:pt>
                <c:pt idx="920">
                  <c:v>91.8</c:v>
                </c:pt>
                <c:pt idx="921">
                  <c:v>91.9</c:v>
                </c:pt>
                <c:pt idx="922">
                  <c:v>92</c:v>
                </c:pt>
                <c:pt idx="923">
                  <c:v>92.1</c:v>
                </c:pt>
                <c:pt idx="924">
                  <c:v>92.2</c:v>
                </c:pt>
                <c:pt idx="925">
                  <c:v>92.3</c:v>
                </c:pt>
                <c:pt idx="926">
                  <c:v>92.4</c:v>
                </c:pt>
                <c:pt idx="927">
                  <c:v>92.5</c:v>
                </c:pt>
                <c:pt idx="928">
                  <c:v>92.6</c:v>
                </c:pt>
                <c:pt idx="929">
                  <c:v>92.7</c:v>
                </c:pt>
                <c:pt idx="930">
                  <c:v>92.8</c:v>
                </c:pt>
                <c:pt idx="931">
                  <c:v>92.9</c:v>
                </c:pt>
                <c:pt idx="932">
                  <c:v>93</c:v>
                </c:pt>
                <c:pt idx="933">
                  <c:v>93.1</c:v>
                </c:pt>
                <c:pt idx="934">
                  <c:v>93.2</c:v>
                </c:pt>
                <c:pt idx="935">
                  <c:v>93.3</c:v>
                </c:pt>
                <c:pt idx="936">
                  <c:v>93.4</c:v>
                </c:pt>
                <c:pt idx="937">
                  <c:v>93.5</c:v>
                </c:pt>
                <c:pt idx="938">
                  <c:v>93.6</c:v>
                </c:pt>
                <c:pt idx="939">
                  <c:v>93.7</c:v>
                </c:pt>
                <c:pt idx="940">
                  <c:v>93.8</c:v>
                </c:pt>
                <c:pt idx="941">
                  <c:v>93.9</c:v>
                </c:pt>
                <c:pt idx="942">
                  <c:v>94</c:v>
                </c:pt>
                <c:pt idx="943">
                  <c:v>94.1</c:v>
                </c:pt>
                <c:pt idx="944">
                  <c:v>94.2</c:v>
                </c:pt>
                <c:pt idx="945">
                  <c:v>94.3</c:v>
                </c:pt>
                <c:pt idx="946">
                  <c:v>94.4</c:v>
                </c:pt>
                <c:pt idx="947">
                  <c:v>94.5</c:v>
                </c:pt>
                <c:pt idx="948">
                  <c:v>94.6</c:v>
                </c:pt>
                <c:pt idx="949">
                  <c:v>94.7</c:v>
                </c:pt>
                <c:pt idx="950">
                  <c:v>94.8</c:v>
                </c:pt>
                <c:pt idx="951">
                  <c:v>94.9</c:v>
                </c:pt>
                <c:pt idx="952">
                  <c:v>95</c:v>
                </c:pt>
                <c:pt idx="953">
                  <c:v>95.1</c:v>
                </c:pt>
                <c:pt idx="954">
                  <c:v>95.2</c:v>
                </c:pt>
                <c:pt idx="955">
                  <c:v>95.3</c:v>
                </c:pt>
                <c:pt idx="956">
                  <c:v>95.4</c:v>
                </c:pt>
                <c:pt idx="957">
                  <c:v>95.5</c:v>
                </c:pt>
                <c:pt idx="958">
                  <c:v>95.6</c:v>
                </c:pt>
                <c:pt idx="959">
                  <c:v>95.7</c:v>
                </c:pt>
                <c:pt idx="960">
                  <c:v>95.8</c:v>
                </c:pt>
                <c:pt idx="961">
                  <c:v>95.9</c:v>
                </c:pt>
                <c:pt idx="962">
                  <c:v>96</c:v>
                </c:pt>
                <c:pt idx="963">
                  <c:v>96.1</c:v>
                </c:pt>
                <c:pt idx="964">
                  <c:v>96.2</c:v>
                </c:pt>
                <c:pt idx="965">
                  <c:v>96.3</c:v>
                </c:pt>
                <c:pt idx="966">
                  <c:v>96.4</c:v>
                </c:pt>
                <c:pt idx="967">
                  <c:v>96.5</c:v>
                </c:pt>
                <c:pt idx="968">
                  <c:v>96.6</c:v>
                </c:pt>
                <c:pt idx="969">
                  <c:v>96.7</c:v>
                </c:pt>
                <c:pt idx="970">
                  <c:v>96.8</c:v>
                </c:pt>
                <c:pt idx="971">
                  <c:v>96.9</c:v>
                </c:pt>
                <c:pt idx="972">
                  <c:v>97</c:v>
                </c:pt>
                <c:pt idx="973">
                  <c:v>97.1</c:v>
                </c:pt>
                <c:pt idx="974">
                  <c:v>97.2</c:v>
                </c:pt>
                <c:pt idx="975">
                  <c:v>97.3</c:v>
                </c:pt>
                <c:pt idx="976">
                  <c:v>97.4</c:v>
                </c:pt>
                <c:pt idx="977">
                  <c:v>97.5</c:v>
                </c:pt>
                <c:pt idx="978">
                  <c:v>97.6</c:v>
                </c:pt>
                <c:pt idx="979">
                  <c:v>97.7</c:v>
                </c:pt>
                <c:pt idx="980">
                  <c:v>97.8</c:v>
                </c:pt>
                <c:pt idx="981">
                  <c:v>97.9</c:v>
                </c:pt>
                <c:pt idx="982">
                  <c:v>98</c:v>
                </c:pt>
                <c:pt idx="983">
                  <c:v>98.1</c:v>
                </c:pt>
                <c:pt idx="984">
                  <c:v>98.2</c:v>
                </c:pt>
                <c:pt idx="985">
                  <c:v>98.3</c:v>
                </c:pt>
                <c:pt idx="986">
                  <c:v>98.4</c:v>
                </c:pt>
                <c:pt idx="987">
                  <c:v>98.5</c:v>
                </c:pt>
                <c:pt idx="988">
                  <c:v>98.6</c:v>
                </c:pt>
                <c:pt idx="989">
                  <c:v>98.7</c:v>
                </c:pt>
                <c:pt idx="990">
                  <c:v>98.8</c:v>
                </c:pt>
                <c:pt idx="991">
                  <c:v>98.9</c:v>
                </c:pt>
                <c:pt idx="992">
                  <c:v>99</c:v>
                </c:pt>
                <c:pt idx="993">
                  <c:v>99.1</c:v>
                </c:pt>
                <c:pt idx="994">
                  <c:v>99.2</c:v>
                </c:pt>
                <c:pt idx="995">
                  <c:v>99.3</c:v>
                </c:pt>
                <c:pt idx="996">
                  <c:v>99.4</c:v>
                </c:pt>
                <c:pt idx="997">
                  <c:v>99.5</c:v>
                </c:pt>
                <c:pt idx="998">
                  <c:v>99.6</c:v>
                </c:pt>
                <c:pt idx="999">
                  <c:v>99.7</c:v>
                </c:pt>
                <c:pt idx="1000">
                  <c:v>99.8</c:v>
                </c:pt>
                <c:pt idx="1001">
                  <c:v>99.9</c:v>
                </c:pt>
                <c:pt idx="1002">
                  <c:v>100</c:v>
                </c:pt>
                <c:pt idx="1003">
                  <c:v>100.1</c:v>
                </c:pt>
              </c:strCache>
            </c:strRef>
          </c:xVal>
          <c:yVal>
            <c:numRef>
              <c:f>'Data In'!$C$4:$C$1807</c:f>
              <c:numCache>
                <c:formatCode>General</c:formatCode>
                <c:ptCount val="1804"/>
                <c:pt idx="0">
                  <c:v>0</c:v>
                </c:pt>
                <c:pt idx="1">
                  <c:v>80</c:v>
                </c:pt>
                <c:pt idx="3">
                  <c:v>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50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50</c:v>
                </c:pt>
                <c:pt idx="103">
                  <c:v>50</c:v>
                </c:pt>
                <c:pt idx="104">
                  <c:v>50</c:v>
                </c:pt>
                <c:pt idx="105">
                  <c:v>50</c:v>
                </c:pt>
                <c:pt idx="106">
                  <c:v>50</c:v>
                </c:pt>
                <c:pt idx="107">
                  <c:v>50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50</c:v>
                </c:pt>
                <c:pt idx="122">
                  <c:v>50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50</c:v>
                </c:pt>
                <c:pt idx="148">
                  <c:v>50</c:v>
                </c:pt>
                <c:pt idx="149">
                  <c:v>50</c:v>
                </c:pt>
                <c:pt idx="150">
                  <c:v>50</c:v>
                </c:pt>
                <c:pt idx="151">
                  <c:v>50</c:v>
                </c:pt>
                <c:pt idx="152">
                  <c:v>50</c:v>
                </c:pt>
                <c:pt idx="153">
                  <c:v>50</c:v>
                </c:pt>
                <c:pt idx="154">
                  <c:v>50</c:v>
                </c:pt>
                <c:pt idx="155">
                  <c:v>50</c:v>
                </c:pt>
                <c:pt idx="156">
                  <c:v>50</c:v>
                </c:pt>
                <c:pt idx="157">
                  <c:v>50</c:v>
                </c:pt>
                <c:pt idx="158">
                  <c:v>50</c:v>
                </c:pt>
                <c:pt idx="159">
                  <c:v>50</c:v>
                </c:pt>
                <c:pt idx="160">
                  <c:v>50</c:v>
                </c:pt>
                <c:pt idx="161">
                  <c:v>50</c:v>
                </c:pt>
                <c:pt idx="162">
                  <c:v>50</c:v>
                </c:pt>
                <c:pt idx="163">
                  <c:v>50</c:v>
                </c:pt>
                <c:pt idx="164">
                  <c:v>50</c:v>
                </c:pt>
                <c:pt idx="165">
                  <c:v>50</c:v>
                </c:pt>
                <c:pt idx="166">
                  <c:v>50</c:v>
                </c:pt>
                <c:pt idx="167">
                  <c:v>50</c:v>
                </c:pt>
                <c:pt idx="168">
                  <c:v>50</c:v>
                </c:pt>
                <c:pt idx="169">
                  <c:v>50</c:v>
                </c:pt>
                <c:pt idx="170">
                  <c:v>50</c:v>
                </c:pt>
                <c:pt idx="171">
                  <c:v>50</c:v>
                </c:pt>
                <c:pt idx="172">
                  <c:v>50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50</c:v>
                </c:pt>
                <c:pt idx="177">
                  <c:v>50</c:v>
                </c:pt>
                <c:pt idx="178">
                  <c:v>50</c:v>
                </c:pt>
                <c:pt idx="179">
                  <c:v>50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50</c:v>
                </c:pt>
                <c:pt idx="188">
                  <c:v>50</c:v>
                </c:pt>
                <c:pt idx="189">
                  <c:v>50</c:v>
                </c:pt>
                <c:pt idx="190">
                  <c:v>50</c:v>
                </c:pt>
                <c:pt idx="191">
                  <c:v>50</c:v>
                </c:pt>
                <c:pt idx="192">
                  <c:v>50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50</c:v>
                </c:pt>
                <c:pt idx="197">
                  <c:v>50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</c:v>
                </c:pt>
                <c:pt idx="206">
                  <c:v>50</c:v>
                </c:pt>
                <c:pt idx="207">
                  <c:v>50</c:v>
                </c:pt>
                <c:pt idx="208">
                  <c:v>50</c:v>
                </c:pt>
                <c:pt idx="209">
                  <c:v>50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  <c:pt idx="216">
                  <c:v>50</c:v>
                </c:pt>
                <c:pt idx="217">
                  <c:v>50</c:v>
                </c:pt>
                <c:pt idx="218">
                  <c:v>50</c:v>
                </c:pt>
                <c:pt idx="219">
                  <c:v>50</c:v>
                </c:pt>
                <c:pt idx="220">
                  <c:v>50</c:v>
                </c:pt>
                <c:pt idx="221">
                  <c:v>50</c:v>
                </c:pt>
                <c:pt idx="222">
                  <c:v>50</c:v>
                </c:pt>
                <c:pt idx="223">
                  <c:v>-0.43</c:v>
                </c:pt>
                <c:pt idx="224">
                  <c:v>50</c:v>
                </c:pt>
                <c:pt idx="225">
                  <c:v>50</c:v>
                </c:pt>
                <c:pt idx="226">
                  <c:v>50</c:v>
                </c:pt>
                <c:pt idx="227">
                  <c:v>50</c:v>
                </c:pt>
                <c:pt idx="228">
                  <c:v>50</c:v>
                </c:pt>
                <c:pt idx="229">
                  <c:v>50</c:v>
                </c:pt>
                <c:pt idx="230">
                  <c:v>50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50</c:v>
                </c:pt>
                <c:pt idx="235">
                  <c:v>50</c:v>
                </c:pt>
                <c:pt idx="236">
                  <c:v>50</c:v>
                </c:pt>
                <c:pt idx="237">
                  <c:v>50</c:v>
                </c:pt>
                <c:pt idx="238">
                  <c:v>50</c:v>
                </c:pt>
                <c:pt idx="239">
                  <c:v>50</c:v>
                </c:pt>
                <c:pt idx="240">
                  <c:v>50</c:v>
                </c:pt>
                <c:pt idx="241">
                  <c:v>50</c:v>
                </c:pt>
                <c:pt idx="242">
                  <c:v>50</c:v>
                </c:pt>
                <c:pt idx="243">
                  <c:v>50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50</c:v>
                </c:pt>
                <c:pt idx="248">
                  <c:v>50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50</c:v>
                </c:pt>
                <c:pt idx="253">
                  <c:v>50</c:v>
                </c:pt>
                <c:pt idx="254">
                  <c:v>50</c:v>
                </c:pt>
                <c:pt idx="255">
                  <c:v>50</c:v>
                </c:pt>
                <c:pt idx="256">
                  <c:v>50</c:v>
                </c:pt>
                <c:pt idx="257">
                  <c:v>50</c:v>
                </c:pt>
                <c:pt idx="258">
                  <c:v>50</c:v>
                </c:pt>
                <c:pt idx="259">
                  <c:v>50</c:v>
                </c:pt>
                <c:pt idx="260">
                  <c:v>50</c:v>
                </c:pt>
                <c:pt idx="261">
                  <c:v>50</c:v>
                </c:pt>
                <c:pt idx="262">
                  <c:v>50</c:v>
                </c:pt>
                <c:pt idx="263">
                  <c:v>50</c:v>
                </c:pt>
                <c:pt idx="264">
                  <c:v>50</c:v>
                </c:pt>
                <c:pt idx="265">
                  <c:v>50</c:v>
                </c:pt>
                <c:pt idx="266">
                  <c:v>50</c:v>
                </c:pt>
                <c:pt idx="267">
                  <c:v>50</c:v>
                </c:pt>
                <c:pt idx="268">
                  <c:v>50</c:v>
                </c:pt>
                <c:pt idx="269">
                  <c:v>50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  <c:pt idx="300">
                  <c:v>50</c:v>
                </c:pt>
                <c:pt idx="301">
                  <c:v>50</c:v>
                </c:pt>
                <c:pt idx="302">
                  <c:v>50</c:v>
                </c:pt>
                <c:pt idx="303">
                  <c:v>50</c:v>
                </c:pt>
                <c:pt idx="304">
                  <c:v>50</c:v>
                </c:pt>
                <c:pt idx="305">
                  <c:v>50</c:v>
                </c:pt>
                <c:pt idx="306">
                  <c:v>50</c:v>
                </c:pt>
                <c:pt idx="307">
                  <c:v>50</c:v>
                </c:pt>
                <c:pt idx="308">
                  <c:v>50</c:v>
                </c:pt>
                <c:pt idx="309">
                  <c:v>50</c:v>
                </c:pt>
                <c:pt idx="310">
                  <c:v>50</c:v>
                </c:pt>
                <c:pt idx="311">
                  <c:v>50</c:v>
                </c:pt>
                <c:pt idx="312">
                  <c:v>50</c:v>
                </c:pt>
                <c:pt idx="313">
                  <c:v>50</c:v>
                </c:pt>
                <c:pt idx="314">
                  <c:v>50</c:v>
                </c:pt>
                <c:pt idx="315">
                  <c:v>50</c:v>
                </c:pt>
                <c:pt idx="316">
                  <c:v>50</c:v>
                </c:pt>
                <c:pt idx="317">
                  <c:v>50</c:v>
                </c:pt>
                <c:pt idx="318">
                  <c:v>50</c:v>
                </c:pt>
                <c:pt idx="319">
                  <c:v>50</c:v>
                </c:pt>
                <c:pt idx="320">
                  <c:v>50</c:v>
                </c:pt>
                <c:pt idx="321">
                  <c:v>50</c:v>
                </c:pt>
                <c:pt idx="322">
                  <c:v>50</c:v>
                </c:pt>
                <c:pt idx="323">
                  <c:v>50</c:v>
                </c:pt>
                <c:pt idx="324">
                  <c:v>50</c:v>
                </c:pt>
                <c:pt idx="325">
                  <c:v>50</c:v>
                </c:pt>
                <c:pt idx="326">
                  <c:v>50</c:v>
                </c:pt>
                <c:pt idx="327">
                  <c:v>50</c:v>
                </c:pt>
                <c:pt idx="328">
                  <c:v>50</c:v>
                </c:pt>
                <c:pt idx="329">
                  <c:v>50</c:v>
                </c:pt>
                <c:pt idx="330">
                  <c:v>50</c:v>
                </c:pt>
                <c:pt idx="331">
                  <c:v>50</c:v>
                </c:pt>
                <c:pt idx="332">
                  <c:v>50</c:v>
                </c:pt>
                <c:pt idx="333">
                  <c:v>65</c:v>
                </c:pt>
                <c:pt idx="334">
                  <c:v>65</c:v>
                </c:pt>
                <c:pt idx="335">
                  <c:v>65</c:v>
                </c:pt>
                <c:pt idx="336">
                  <c:v>65</c:v>
                </c:pt>
                <c:pt idx="337">
                  <c:v>65</c:v>
                </c:pt>
                <c:pt idx="338">
                  <c:v>65</c:v>
                </c:pt>
                <c:pt idx="339">
                  <c:v>65</c:v>
                </c:pt>
                <c:pt idx="340">
                  <c:v>65</c:v>
                </c:pt>
                <c:pt idx="341">
                  <c:v>65</c:v>
                </c:pt>
                <c:pt idx="342">
                  <c:v>65</c:v>
                </c:pt>
                <c:pt idx="343">
                  <c:v>65</c:v>
                </c:pt>
                <c:pt idx="344">
                  <c:v>65</c:v>
                </c:pt>
                <c:pt idx="345">
                  <c:v>65</c:v>
                </c:pt>
                <c:pt idx="346">
                  <c:v>65</c:v>
                </c:pt>
                <c:pt idx="347">
                  <c:v>65</c:v>
                </c:pt>
                <c:pt idx="348">
                  <c:v>65</c:v>
                </c:pt>
                <c:pt idx="349">
                  <c:v>65</c:v>
                </c:pt>
                <c:pt idx="350">
                  <c:v>65</c:v>
                </c:pt>
                <c:pt idx="351">
                  <c:v>65</c:v>
                </c:pt>
                <c:pt idx="352">
                  <c:v>65</c:v>
                </c:pt>
                <c:pt idx="353">
                  <c:v>65</c:v>
                </c:pt>
                <c:pt idx="354">
                  <c:v>65</c:v>
                </c:pt>
                <c:pt idx="355">
                  <c:v>65</c:v>
                </c:pt>
                <c:pt idx="356">
                  <c:v>65</c:v>
                </c:pt>
                <c:pt idx="357">
                  <c:v>65</c:v>
                </c:pt>
                <c:pt idx="358">
                  <c:v>65</c:v>
                </c:pt>
                <c:pt idx="359">
                  <c:v>65</c:v>
                </c:pt>
                <c:pt idx="360">
                  <c:v>65</c:v>
                </c:pt>
                <c:pt idx="361">
                  <c:v>65</c:v>
                </c:pt>
                <c:pt idx="362">
                  <c:v>65</c:v>
                </c:pt>
                <c:pt idx="363">
                  <c:v>65</c:v>
                </c:pt>
                <c:pt idx="364">
                  <c:v>65</c:v>
                </c:pt>
                <c:pt idx="365">
                  <c:v>65</c:v>
                </c:pt>
                <c:pt idx="366">
                  <c:v>65</c:v>
                </c:pt>
                <c:pt idx="367">
                  <c:v>65</c:v>
                </c:pt>
                <c:pt idx="368">
                  <c:v>65</c:v>
                </c:pt>
                <c:pt idx="369">
                  <c:v>65</c:v>
                </c:pt>
                <c:pt idx="370">
                  <c:v>65</c:v>
                </c:pt>
                <c:pt idx="371">
                  <c:v>65</c:v>
                </c:pt>
                <c:pt idx="372">
                  <c:v>65</c:v>
                </c:pt>
                <c:pt idx="373">
                  <c:v>65</c:v>
                </c:pt>
                <c:pt idx="374">
                  <c:v>65</c:v>
                </c:pt>
                <c:pt idx="375">
                  <c:v>65</c:v>
                </c:pt>
                <c:pt idx="376">
                  <c:v>65</c:v>
                </c:pt>
                <c:pt idx="377">
                  <c:v>65</c:v>
                </c:pt>
                <c:pt idx="378">
                  <c:v>65</c:v>
                </c:pt>
                <c:pt idx="379">
                  <c:v>65</c:v>
                </c:pt>
                <c:pt idx="380">
                  <c:v>65</c:v>
                </c:pt>
                <c:pt idx="381">
                  <c:v>65</c:v>
                </c:pt>
                <c:pt idx="382">
                  <c:v>65</c:v>
                </c:pt>
                <c:pt idx="383">
                  <c:v>65</c:v>
                </c:pt>
                <c:pt idx="384">
                  <c:v>65</c:v>
                </c:pt>
                <c:pt idx="385">
                  <c:v>65</c:v>
                </c:pt>
                <c:pt idx="386">
                  <c:v>65</c:v>
                </c:pt>
                <c:pt idx="387">
                  <c:v>65</c:v>
                </c:pt>
                <c:pt idx="388">
                  <c:v>65</c:v>
                </c:pt>
                <c:pt idx="389">
                  <c:v>65</c:v>
                </c:pt>
                <c:pt idx="390">
                  <c:v>65</c:v>
                </c:pt>
                <c:pt idx="391">
                  <c:v>65</c:v>
                </c:pt>
                <c:pt idx="392">
                  <c:v>65</c:v>
                </c:pt>
                <c:pt idx="393">
                  <c:v>65</c:v>
                </c:pt>
                <c:pt idx="394">
                  <c:v>65</c:v>
                </c:pt>
                <c:pt idx="395">
                  <c:v>65</c:v>
                </c:pt>
                <c:pt idx="396">
                  <c:v>65</c:v>
                </c:pt>
                <c:pt idx="397">
                  <c:v>65</c:v>
                </c:pt>
                <c:pt idx="398">
                  <c:v>65</c:v>
                </c:pt>
                <c:pt idx="399">
                  <c:v>65</c:v>
                </c:pt>
                <c:pt idx="400">
                  <c:v>65</c:v>
                </c:pt>
                <c:pt idx="401">
                  <c:v>65</c:v>
                </c:pt>
                <c:pt idx="402">
                  <c:v>65</c:v>
                </c:pt>
                <c:pt idx="403">
                  <c:v>65</c:v>
                </c:pt>
                <c:pt idx="404">
                  <c:v>65</c:v>
                </c:pt>
                <c:pt idx="405">
                  <c:v>65</c:v>
                </c:pt>
                <c:pt idx="406">
                  <c:v>65</c:v>
                </c:pt>
                <c:pt idx="407">
                  <c:v>65</c:v>
                </c:pt>
                <c:pt idx="408">
                  <c:v>65</c:v>
                </c:pt>
                <c:pt idx="409">
                  <c:v>65</c:v>
                </c:pt>
                <c:pt idx="410">
                  <c:v>65</c:v>
                </c:pt>
                <c:pt idx="411">
                  <c:v>65</c:v>
                </c:pt>
                <c:pt idx="412">
                  <c:v>65</c:v>
                </c:pt>
                <c:pt idx="413">
                  <c:v>65</c:v>
                </c:pt>
                <c:pt idx="414">
                  <c:v>65</c:v>
                </c:pt>
                <c:pt idx="415">
                  <c:v>65</c:v>
                </c:pt>
                <c:pt idx="416">
                  <c:v>65</c:v>
                </c:pt>
                <c:pt idx="417">
                  <c:v>65</c:v>
                </c:pt>
                <c:pt idx="418">
                  <c:v>65</c:v>
                </c:pt>
                <c:pt idx="419">
                  <c:v>65</c:v>
                </c:pt>
                <c:pt idx="420">
                  <c:v>65</c:v>
                </c:pt>
                <c:pt idx="421">
                  <c:v>65</c:v>
                </c:pt>
                <c:pt idx="422">
                  <c:v>65</c:v>
                </c:pt>
                <c:pt idx="423">
                  <c:v>65</c:v>
                </c:pt>
                <c:pt idx="424">
                  <c:v>65</c:v>
                </c:pt>
                <c:pt idx="425">
                  <c:v>65</c:v>
                </c:pt>
                <c:pt idx="426">
                  <c:v>65</c:v>
                </c:pt>
                <c:pt idx="427">
                  <c:v>65</c:v>
                </c:pt>
                <c:pt idx="428">
                  <c:v>65</c:v>
                </c:pt>
                <c:pt idx="429">
                  <c:v>65</c:v>
                </c:pt>
                <c:pt idx="430">
                  <c:v>65</c:v>
                </c:pt>
                <c:pt idx="431">
                  <c:v>65</c:v>
                </c:pt>
                <c:pt idx="432">
                  <c:v>65</c:v>
                </c:pt>
                <c:pt idx="433">
                  <c:v>65</c:v>
                </c:pt>
                <c:pt idx="434">
                  <c:v>65</c:v>
                </c:pt>
                <c:pt idx="435">
                  <c:v>65</c:v>
                </c:pt>
                <c:pt idx="436">
                  <c:v>65</c:v>
                </c:pt>
                <c:pt idx="437">
                  <c:v>65</c:v>
                </c:pt>
                <c:pt idx="438">
                  <c:v>65</c:v>
                </c:pt>
                <c:pt idx="439">
                  <c:v>65</c:v>
                </c:pt>
                <c:pt idx="440">
                  <c:v>65</c:v>
                </c:pt>
                <c:pt idx="441">
                  <c:v>65</c:v>
                </c:pt>
                <c:pt idx="442">
                  <c:v>65</c:v>
                </c:pt>
                <c:pt idx="443">
                  <c:v>65</c:v>
                </c:pt>
                <c:pt idx="444">
                  <c:v>65</c:v>
                </c:pt>
                <c:pt idx="445">
                  <c:v>65</c:v>
                </c:pt>
                <c:pt idx="446">
                  <c:v>65</c:v>
                </c:pt>
                <c:pt idx="447">
                  <c:v>65</c:v>
                </c:pt>
                <c:pt idx="448">
                  <c:v>65</c:v>
                </c:pt>
                <c:pt idx="449">
                  <c:v>65</c:v>
                </c:pt>
                <c:pt idx="450">
                  <c:v>65</c:v>
                </c:pt>
                <c:pt idx="451">
                  <c:v>65</c:v>
                </c:pt>
                <c:pt idx="452">
                  <c:v>65</c:v>
                </c:pt>
                <c:pt idx="453">
                  <c:v>65</c:v>
                </c:pt>
                <c:pt idx="454">
                  <c:v>65</c:v>
                </c:pt>
                <c:pt idx="455">
                  <c:v>65</c:v>
                </c:pt>
                <c:pt idx="456">
                  <c:v>65</c:v>
                </c:pt>
                <c:pt idx="457">
                  <c:v>65</c:v>
                </c:pt>
                <c:pt idx="458">
                  <c:v>65</c:v>
                </c:pt>
                <c:pt idx="459">
                  <c:v>65</c:v>
                </c:pt>
                <c:pt idx="460">
                  <c:v>65</c:v>
                </c:pt>
                <c:pt idx="461">
                  <c:v>65</c:v>
                </c:pt>
                <c:pt idx="462">
                  <c:v>65</c:v>
                </c:pt>
                <c:pt idx="463">
                  <c:v>65</c:v>
                </c:pt>
                <c:pt idx="464">
                  <c:v>65</c:v>
                </c:pt>
                <c:pt idx="465">
                  <c:v>65</c:v>
                </c:pt>
                <c:pt idx="466">
                  <c:v>65</c:v>
                </c:pt>
                <c:pt idx="467">
                  <c:v>65</c:v>
                </c:pt>
                <c:pt idx="468">
                  <c:v>65</c:v>
                </c:pt>
                <c:pt idx="469">
                  <c:v>65</c:v>
                </c:pt>
                <c:pt idx="470">
                  <c:v>65</c:v>
                </c:pt>
                <c:pt idx="471">
                  <c:v>65</c:v>
                </c:pt>
                <c:pt idx="472">
                  <c:v>65</c:v>
                </c:pt>
                <c:pt idx="473">
                  <c:v>65</c:v>
                </c:pt>
                <c:pt idx="474">
                  <c:v>65</c:v>
                </c:pt>
                <c:pt idx="475">
                  <c:v>65</c:v>
                </c:pt>
                <c:pt idx="476">
                  <c:v>65</c:v>
                </c:pt>
                <c:pt idx="477">
                  <c:v>65</c:v>
                </c:pt>
                <c:pt idx="478">
                  <c:v>65</c:v>
                </c:pt>
                <c:pt idx="479">
                  <c:v>65</c:v>
                </c:pt>
                <c:pt idx="480">
                  <c:v>65</c:v>
                </c:pt>
                <c:pt idx="481">
                  <c:v>65</c:v>
                </c:pt>
                <c:pt idx="482">
                  <c:v>65</c:v>
                </c:pt>
                <c:pt idx="483">
                  <c:v>65</c:v>
                </c:pt>
                <c:pt idx="484">
                  <c:v>65</c:v>
                </c:pt>
                <c:pt idx="485">
                  <c:v>65</c:v>
                </c:pt>
                <c:pt idx="486">
                  <c:v>65</c:v>
                </c:pt>
                <c:pt idx="487">
                  <c:v>65</c:v>
                </c:pt>
                <c:pt idx="488">
                  <c:v>65</c:v>
                </c:pt>
                <c:pt idx="489">
                  <c:v>65</c:v>
                </c:pt>
                <c:pt idx="490">
                  <c:v>65</c:v>
                </c:pt>
                <c:pt idx="491">
                  <c:v>65</c:v>
                </c:pt>
                <c:pt idx="492">
                  <c:v>65</c:v>
                </c:pt>
                <c:pt idx="493">
                  <c:v>65</c:v>
                </c:pt>
                <c:pt idx="494">
                  <c:v>65</c:v>
                </c:pt>
                <c:pt idx="495">
                  <c:v>65</c:v>
                </c:pt>
                <c:pt idx="496">
                  <c:v>65</c:v>
                </c:pt>
                <c:pt idx="497">
                  <c:v>65</c:v>
                </c:pt>
                <c:pt idx="498">
                  <c:v>65</c:v>
                </c:pt>
                <c:pt idx="499">
                  <c:v>65</c:v>
                </c:pt>
                <c:pt idx="500">
                  <c:v>65</c:v>
                </c:pt>
                <c:pt idx="501">
                  <c:v>65</c:v>
                </c:pt>
                <c:pt idx="502">
                  <c:v>65</c:v>
                </c:pt>
                <c:pt idx="503">
                  <c:v>65</c:v>
                </c:pt>
                <c:pt idx="504">
                  <c:v>65</c:v>
                </c:pt>
                <c:pt idx="505">
                  <c:v>65</c:v>
                </c:pt>
                <c:pt idx="506">
                  <c:v>65</c:v>
                </c:pt>
                <c:pt idx="507">
                  <c:v>65</c:v>
                </c:pt>
                <c:pt idx="508">
                  <c:v>65</c:v>
                </c:pt>
                <c:pt idx="509">
                  <c:v>65</c:v>
                </c:pt>
                <c:pt idx="510">
                  <c:v>65</c:v>
                </c:pt>
                <c:pt idx="511">
                  <c:v>65</c:v>
                </c:pt>
                <c:pt idx="512">
                  <c:v>65</c:v>
                </c:pt>
                <c:pt idx="513">
                  <c:v>65</c:v>
                </c:pt>
                <c:pt idx="514">
                  <c:v>65</c:v>
                </c:pt>
                <c:pt idx="515">
                  <c:v>65</c:v>
                </c:pt>
                <c:pt idx="516">
                  <c:v>65</c:v>
                </c:pt>
                <c:pt idx="517">
                  <c:v>65</c:v>
                </c:pt>
                <c:pt idx="518">
                  <c:v>65</c:v>
                </c:pt>
                <c:pt idx="519">
                  <c:v>65</c:v>
                </c:pt>
                <c:pt idx="520">
                  <c:v>65</c:v>
                </c:pt>
                <c:pt idx="521">
                  <c:v>65</c:v>
                </c:pt>
                <c:pt idx="522">
                  <c:v>65</c:v>
                </c:pt>
                <c:pt idx="523">
                  <c:v>65</c:v>
                </c:pt>
                <c:pt idx="524">
                  <c:v>65</c:v>
                </c:pt>
                <c:pt idx="525">
                  <c:v>65</c:v>
                </c:pt>
                <c:pt idx="526">
                  <c:v>65</c:v>
                </c:pt>
                <c:pt idx="527">
                  <c:v>65</c:v>
                </c:pt>
                <c:pt idx="528">
                  <c:v>65</c:v>
                </c:pt>
                <c:pt idx="529">
                  <c:v>65</c:v>
                </c:pt>
                <c:pt idx="530">
                  <c:v>65</c:v>
                </c:pt>
                <c:pt idx="531">
                  <c:v>65</c:v>
                </c:pt>
                <c:pt idx="532">
                  <c:v>65</c:v>
                </c:pt>
                <c:pt idx="533">
                  <c:v>65</c:v>
                </c:pt>
                <c:pt idx="534">
                  <c:v>65</c:v>
                </c:pt>
                <c:pt idx="535">
                  <c:v>65</c:v>
                </c:pt>
                <c:pt idx="536">
                  <c:v>65</c:v>
                </c:pt>
                <c:pt idx="537">
                  <c:v>65</c:v>
                </c:pt>
                <c:pt idx="538">
                  <c:v>65</c:v>
                </c:pt>
                <c:pt idx="539">
                  <c:v>65</c:v>
                </c:pt>
                <c:pt idx="540">
                  <c:v>65</c:v>
                </c:pt>
                <c:pt idx="541">
                  <c:v>65</c:v>
                </c:pt>
                <c:pt idx="542">
                  <c:v>65</c:v>
                </c:pt>
                <c:pt idx="543">
                  <c:v>65</c:v>
                </c:pt>
                <c:pt idx="544">
                  <c:v>65</c:v>
                </c:pt>
                <c:pt idx="545">
                  <c:v>65</c:v>
                </c:pt>
                <c:pt idx="546">
                  <c:v>65</c:v>
                </c:pt>
                <c:pt idx="547">
                  <c:v>65</c:v>
                </c:pt>
                <c:pt idx="548">
                  <c:v>65</c:v>
                </c:pt>
                <c:pt idx="549">
                  <c:v>65</c:v>
                </c:pt>
                <c:pt idx="550">
                  <c:v>65</c:v>
                </c:pt>
                <c:pt idx="551">
                  <c:v>65</c:v>
                </c:pt>
                <c:pt idx="552">
                  <c:v>65</c:v>
                </c:pt>
                <c:pt idx="553">
                  <c:v>65</c:v>
                </c:pt>
                <c:pt idx="554">
                  <c:v>65</c:v>
                </c:pt>
                <c:pt idx="555">
                  <c:v>65</c:v>
                </c:pt>
                <c:pt idx="556">
                  <c:v>65</c:v>
                </c:pt>
                <c:pt idx="557">
                  <c:v>65</c:v>
                </c:pt>
                <c:pt idx="558">
                  <c:v>65</c:v>
                </c:pt>
                <c:pt idx="559">
                  <c:v>65</c:v>
                </c:pt>
                <c:pt idx="560">
                  <c:v>65</c:v>
                </c:pt>
                <c:pt idx="561">
                  <c:v>65</c:v>
                </c:pt>
                <c:pt idx="562">
                  <c:v>65</c:v>
                </c:pt>
                <c:pt idx="563">
                  <c:v>65</c:v>
                </c:pt>
                <c:pt idx="564">
                  <c:v>65</c:v>
                </c:pt>
                <c:pt idx="565">
                  <c:v>65</c:v>
                </c:pt>
                <c:pt idx="566">
                  <c:v>65</c:v>
                </c:pt>
                <c:pt idx="567">
                  <c:v>65</c:v>
                </c:pt>
                <c:pt idx="568">
                  <c:v>65</c:v>
                </c:pt>
                <c:pt idx="569">
                  <c:v>65</c:v>
                </c:pt>
                <c:pt idx="570">
                  <c:v>65</c:v>
                </c:pt>
                <c:pt idx="571">
                  <c:v>65</c:v>
                </c:pt>
                <c:pt idx="572">
                  <c:v>65</c:v>
                </c:pt>
                <c:pt idx="573">
                  <c:v>65</c:v>
                </c:pt>
                <c:pt idx="574">
                  <c:v>65</c:v>
                </c:pt>
                <c:pt idx="575">
                  <c:v>65</c:v>
                </c:pt>
                <c:pt idx="576">
                  <c:v>65</c:v>
                </c:pt>
                <c:pt idx="577">
                  <c:v>65</c:v>
                </c:pt>
                <c:pt idx="578">
                  <c:v>65</c:v>
                </c:pt>
                <c:pt idx="579">
                  <c:v>65</c:v>
                </c:pt>
                <c:pt idx="580">
                  <c:v>65</c:v>
                </c:pt>
                <c:pt idx="581">
                  <c:v>65</c:v>
                </c:pt>
                <c:pt idx="582">
                  <c:v>65</c:v>
                </c:pt>
                <c:pt idx="583">
                  <c:v>65</c:v>
                </c:pt>
                <c:pt idx="584">
                  <c:v>65</c:v>
                </c:pt>
                <c:pt idx="585">
                  <c:v>65</c:v>
                </c:pt>
                <c:pt idx="586">
                  <c:v>65</c:v>
                </c:pt>
                <c:pt idx="587">
                  <c:v>65</c:v>
                </c:pt>
                <c:pt idx="588">
                  <c:v>65</c:v>
                </c:pt>
                <c:pt idx="589">
                  <c:v>65</c:v>
                </c:pt>
                <c:pt idx="590">
                  <c:v>65</c:v>
                </c:pt>
                <c:pt idx="591">
                  <c:v>65</c:v>
                </c:pt>
                <c:pt idx="592">
                  <c:v>65</c:v>
                </c:pt>
                <c:pt idx="593">
                  <c:v>65</c:v>
                </c:pt>
                <c:pt idx="594">
                  <c:v>65</c:v>
                </c:pt>
                <c:pt idx="595">
                  <c:v>65</c:v>
                </c:pt>
                <c:pt idx="596">
                  <c:v>65</c:v>
                </c:pt>
                <c:pt idx="597">
                  <c:v>65</c:v>
                </c:pt>
                <c:pt idx="598">
                  <c:v>65</c:v>
                </c:pt>
                <c:pt idx="599">
                  <c:v>65</c:v>
                </c:pt>
                <c:pt idx="600">
                  <c:v>65</c:v>
                </c:pt>
                <c:pt idx="601">
                  <c:v>65</c:v>
                </c:pt>
                <c:pt idx="602">
                  <c:v>65</c:v>
                </c:pt>
                <c:pt idx="603">
                  <c:v>65</c:v>
                </c:pt>
                <c:pt idx="604">
                  <c:v>65</c:v>
                </c:pt>
                <c:pt idx="605">
                  <c:v>65</c:v>
                </c:pt>
                <c:pt idx="606">
                  <c:v>65</c:v>
                </c:pt>
                <c:pt idx="607">
                  <c:v>65</c:v>
                </c:pt>
                <c:pt idx="608">
                  <c:v>65</c:v>
                </c:pt>
                <c:pt idx="609">
                  <c:v>65</c:v>
                </c:pt>
                <c:pt idx="610">
                  <c:v>65</c:v>
                </c:pt>
                <c:pt idx="611">
                  <c:v>65</c:v>
                </c:pt>
                <c:pt idx="612">
                  <c:v>65</c:v>
                </c:pt>
                <c:pt idx="613">
                  <c:v>65</c:v>
                </c:pt>
                <c:pt idx="614">
                  <c:v>65</c:v>
                </c:pt>
                <c:pt idx="615">
                  <c:v>65</c:v>
                </c:pt>
                <c:pt idx="616">
                  <c:v>65</c:v>
                </c:pt>
                <c:pt idx="617">
                  <c:v>65</c:v>
                </c:pt>
                <c:pt idx="618">
                  <c:v>65</c:v>
                </c:pt>
                <c:pt idx="619">
                  <c:v>65</c:v>
                </c:pt>
                <c:pt idx="620">
                  <c:v>65</c:v>
                </c:pt>
                <c:pt idx="621">
                  <c:v>65</c:v>
                </c:pt>
                <c:pt idx="622">
                  <c:v>65</c:v>
                </c:pt>
                <c:pt idx="623">
                  <c:v>65</c:v>
                </c:pt>
                <c:pt idx="624">
                  <c:v>65</c:v>
                </c:pt>
                <c:pt idx="625">
                  <c:v>65</c:v>
                </c:pt>
                <c:pt idx="626">
                  <c:v>65</c:v>
                </c:pt>
                <c:pt idx="627">
                  <c:v>65</c:v>
                </c:pt>
                <c:pt idx="628">
                  <c:v>65</c:v>
                </c:pt>
                <c:pt idx="629">
                  <c:v>65</c:v>
                </c:pt>
                <c:pt idx="630">
                  <c:v>65</c:v>
                </c:pt>
                <c:pt idx="631">
                  <c:v>65</c:v>
                </c:pt>
                <c:pt idx="632">
                  <c:v>65</c:v>
                </c:pt>
                <c:pt idx="633">
                  <c:v>65</c:v>
                </c:pt>
                <c:pt idx="634">
                  <c:v>65</c:v>
                </c:pt>
                <c:pt idx="635">
                  <c:v>65</c:v>
                </c:pt>
                <c:pt idx="636">
                  <c:v>65</c:v>
                </c:pt>
                <c:pt idx="637">
                  <c:v>65</c:v>
                </c:pt>
                <c:pt idx="638">
                  <c:v>65</c:v>
                </c:pt>
                <c:pt idx="639">
                  <c:v>65</c:v>
                </c:pt>
                <c:pt idx="640">
                  <c:v>65</c:v>
                </c:pt>
                <c:pt idx="641">
                  <c:v>65</c:v>
                </c:pt>
                <c:pt idx="642">
                  <c:v>65</c:v>
                </c:pt>
                <c:pt idx="643">
                  <c:v>65</c:v>
                </c:pt>
                <c:pt idx="644">
                  <c:v>65</c:v>
                </c:pt>
                <c:pt idx="645">
                  <c:v>65</c:v>
                </c:pt>
                <c:pt idx="646">
                  <c:v>65</c:v>
                </c:pt>
                <c:pt idx="647">
                  <c:v>65</c:v>
                </c:pt>
                <c:pt idx="648">
                  <c:v>65</c:v>
                </c:pt>
                <c:pt idx="649">
                  <c:v>65</c:v>
                </c:pt>
                <c:pt idx="650">
                  <c:v>65</c:v>
                </c:pt>
                <c:pt idx="651">
                  <c:v>65</c:v>
                </c:pt>
                <c:pt idx="652">
                  <c:v>65</c:v>
                </c:pt>
                <c:pt idx="653">
                  <c:v>65</c:v>
                </c:pt>
                <c:pt idx="654">
                  <c:v>65</c:v>
                </c:pt>
                <c:pt idx="655">
                  <c:v>65</c:v>
                </c:pt>
                <c:pt idx="656">
                  <c:v>65</c:v>
                </c:pt>
                <c:pt idx="657">
                  <c:v>65</c:v>
                </c:pt>
                <c:pt idx="658">
                  <c:v>65</c:v>
                </c:pt>
                <c:pt idx="659">
                  <c:v>65</c:v>
                </c:pt>
                <c:pt idx="660">
                  <c:v>65</c:v>
                </c:pt>
                <c:pt idx="661">
                  <c:v>65</c:v>
                </c:pt>
                <c:pt idx="662">
                  <c:v>65</c:v>
                </c:pt>
                <c:pt idx="663">
                  <c:v>65</c:v>
                </c:pt>
                <c:pt idx="664">
                  <c:v>80</c:v>
                </c:pt>
                <c:pt idx="665">
                  <c:v>80</c:v>
                </c:pt>
                <c:pt idx="666">
                  <c:v>80</c:v>
                </c:pt>
                <c:pt idx="667">
                  <c:v>80</c:v>
                </c:pt>
                <c:pt idx="668">
                  <c:v>80</c:v>
                </c:pt>
                <c:pt idx="669">
                  <c:v>80</c:v>
                </c:pt>
                <c:pt idx="670">
                  <c:v>80</c:v>
                </c:pt>
                <c:pt idx="671">
                  <c:v>80</c:v>
                </c:pt>
                <c:pt idx="672">
                  <c:v>80</c:v>
                </c:pt>
                <c:pt idx="673">
                  <c:v>80</c:v>
                </c:pt>
                <c:pt idx="674">
                  <c:v>80</c:v>
                </c:pt>
                <c:pt idx="675">
                  <c:v>80</c:v>
                </c:pt>
                <c:pt idx="676">
                  <c:v>80</c:v>
                </c:pt>
                <c:pt idx="677">
                  <c:v>80</c:v>
                </c:pt>
                <c:pt idx="678">
                  <c:v>80</c:v>
                </c:pt>
                <c:pt idx="679">
                  <c:v>80</c:v>
                </c:pt>
                <c:pt idx="680">
                  <c:v>80</c:v>
                </c:pt>
                <c:pt idx="681">
                  <c:v>80</c:v>
                </c:pt>
                <c:pt idx="682">
                  <c:v>80</c:v>
                </c:pt>
                <c:pt idx="683">
                  <c:v>80</c:v>
                </c:pt>
                <c:pt idx="684">
                  <c:v>80</c:v>
                </c:pt>
                <c:pt idx="685">
                  <c:v>80</c:v>
                </c:pt>
                <c:pt idx="686">
                  <c:v>80</c:v>
                </c:pt>
                <c:pt idx="687">
                  <c:v>80</c:v>
                </c:pt>
                <c:pt idx="688">
                  <c:v>80</c:v>
                </c:pt>
                <c:pt idx="689">
                  <c:v>80</c:v>
                </c:pt>
                <c:pt idx="690">
                  <c:v>80</c:v>
                </c:pt>
                <c:pt idx="691">
                  <c:v>80</c:v>
                </c:pt>
                <c:pt idx="692">
                  <c:v>80</c:v>
                </c:pt>
                <c:pt idx="693">
                  <c:v>80</c:v>
                </c:pt>
                <c:pt idx="694">
                  <c:v>80</c:v>
                </c:pt>
                <c:pt idx="695">
                  <c:v>80</c:v>
                </c:pt>
                <c:pt idx="696">
                  <c:v>80</c:v>
                </c:pt>
                <c:pt idx="697">
                  <c:v>80</c:v>
                </c:pt>
                <c:pt idx="698">
                  <c:v>80</c:v>
                </c:pt>
                <c:pt idx="699">
                  <c:v>80</c:v>
                </c:pt>
                <c:pt idx="700">
                  <c:v>80</c:v>
                </c:pt>
                <c:pt idx="701">
                  <c:v>80</c:v>
                </c:pt>
                <c:pt idx="702">
                  <c:v>80</c:v>
                </c:pt>
                <c:pt idx="703">
                  <c:v>80</c:v>
                </c:pt>
                <c:pt idx="704">
                  <c:v>80</c:v>
                </c:pt>
                <c:pt idx="705">
                  <c:v>80</c:v>
                </c:pt>
                <c:pt idx="706">
                  <c:v>80</c:v>
                </c:pt>
                <c:pt idx="707">
                  <c:v>80</c:v>
                </c:pt>
                <c:pt idx="708">
                  <c:v>80</c:v>
                </c:pt>
                <c:pt idx="709">
                  <c:v>80</c:v>
                </c:pt>
                <c:pt idx="710">
                  <c:v>80</c:v>
                </c:pt>
                <c:pt idx="711">
                  <c:v>80</c:v>
                </c:pt>
                <c:pt idx="712">
                  <c:v>80</c:v>
                </c:pt>
                <c:pt idx="713">
                  <c:v>80</c:v>
                </c:pt>
                <c:pt idx="714">
                  <c:v>80</c:v>
                </c:pt>
                <c:pt idx="715">
                  <c:v>80</c:v>
                </c:pt>
                <c:pt idx="716">
                  <c:v>80</c:v>
                </c:pt>
                <c:pt idx="717">
                  <c:v>80</c:v>
                </c:pt>
                <c:pt idx="718">
                  <c:v>80</c:v>
                </c:pt>
                <c:pt idx="719">
                  <c:v>80</c:v>
                </c:pt>
                <c:pt idx="720">
                  <c:v>80</c:v>
                </c:pt>
                <c:pt idx="721">
                  <c:v>80</c:v>
                </c:pt>
                <c:pt idx="722">
                  <c:v>80</c:v>
                </c:pt>
                <c:pt idx="723">
                  <c:v>80</c:v>
                </c:pt>
                <c:pt idx="724">
                  <c:v>80</c:v>
                </c:pt>
                <c:pt idx="725">
                  <c:v>80</c:v>
                </c:pt>
                <c:pt idx="726">
                  <c:v>80</c:v>
                </c:pt>
                <c:pt idx="727">
                  <c:v>80</c:v>
                </c:pt>
                <c:pt idx="728">
                  <c:v>80</c:v>
                </c:pt>
                <c:pt idx="729">
                  <c:v>80</c:v>
                </c:pt>
                <c:pt idx="730">
                  <c:v>80</c:v>
                </c:pt>
                <c:pt idx="731">
                  <c:v>80</c:v>
                </c:pt>
                <c:pt idx="732">
                  <c:v>80</c:v>
                </c:pt>
                <c:pt idx="733">
                  <c:v>80</c:v>
                </c:pt>
                <c:pt idx="734">
                  <c:v>80</c:v>
                </c:pt>
                <c:pt idx="735">
                  <c:v>80</c:v>
                </c:pt>
                <c:pt idx="736">
                  <c:v>80</c:v>
                </c:pt>
                <c:pt idx="737">
                  <c:v>80</c:v>
                </c:pt>
                <c:pt idx="738">
                  <c:v>80</c:v>
                </c:pt>
                <c:pt idx="739">
                  <c:v>80</c:v>
                </c:pt>
                <c:pt idx="740">
                  <c:v>80</c:v>
                </c:pt>
                <c:pt idx="741">
                  <c:v>80</c:v>
                </c:pt>
                <c:pt idx="742">
                  <c:v>80</c:v>
                </c:pt>
                <c:pt idx="743">
                  <c:v>80</c:v>
                </c:pt>
                <c:pt idx="744">
                  <c:v>80</c:v>
                </c:pt>
                <c:pt idx="745">
                  <c:v>80</c:v>
                </c:pt>
                <c:pt idx="746">
                  <c:v>80</c:v>
                </c:pt>
                <c:pt idx="747">
                  <c:v>80</c:v>
                </c:pt>
                <c:pt idx="748">
                  <c:v>80</c:v>
                </c:pt>
                <c:pt idx="749">
                  <c:v>80</c:v>
                </c:pt>
                <c:pt idx="750">
                  <c:v>80</c:v>
                </c:pt>
                <c:pt idx="751">
                  <c:v>80</c:v>
                </c:pt>
                <c:pt idx="752">
                  <c:v>80</c:v>
                </c:pt>
                <c:pt idx="753">
                  <c:v>80</c:v>
                </c:pt>
                <c:pt idx="754">
                  <c:v>80</c:v>
                </c:pt>
                <c:pt idx="755">
                  <c:v>80</c:v>
                </c:pt>
                <c:pt idx="756">
                  <c:v>80</c:v>
                </c:pt>
                <c:pt idx="757">
                  <c:v>80</c:v>
                </c:pt>
                <c:pt idx="758">
                  <c:v>80</c:v>
                </c:pt>
                <c:pt idx="759">
                  <c:v>80</c:v>
                </c:pt>
                <c:pt idx="760">
                  <c:v>80</c:v>
                </c:pt>
                <c:pt idx="761">
                  <c:v>80</c:v>
                </c:pt>
                <c:pt idx="762">
                  <c:v>80</c:v>
                </c:pt>
                <c:pt idx="763">
                  <c:v>80</c:v>
                </c:pt>
                <c:pt idx="764">
                  <c:v>80</c:v>
                </c:pt>
                <c:pt idx="765">
                  <c:v>80</c:v>
                </c:pt>
                <c:pt idx="766">
                  <c:v>80</c:v>
                </c:pt>
                <c:pt idx="767">
                  <c:v>80</c:v>
                </c:pt>
                <c:pt idx="768">
                  <c:v>80</c:v>
                </c:pt>
                <c:pt idx="769">
                  <c:v>80</c:v>
                </c:pt>
                <c:pt idx="770">
                  <c:v>80</c:v>
                </c:pt>
                <c:pt idx="771">
                  <c:v>80</c:v>
                </c:pt>
                <c:pt idx="772">
                  <c:v>80</c:v>
                </c:pt>
                <c:pt idx="773">
                  <c:v>80</c:v>
                </c:pt>
                <c:pt idx="774">
                  <c:v>80</c:v>
                </c:pt>
                <c:pt idx="775">
                  <c:v>80</c:v>
                </c:pt>
                <c:pt idx="776">
                  <c:v>80</c:v>
                </c:pt>
                <c:pt idx="777">
                  <c:v>80</c:v>
                </c:pt>
                <c:pt idx="778">
                  <c:v>80</c:v>
                </c:pt>
                <c:pt idx="779">
                  <c:v>80</c:v>
                </c:pt>
                <c:pt idx="780">
                  <c:v>80</c:v>
                </c:pt>
                <c:pt idx="781">
                  <c:v>80</c:v>
                </c:pt>
                <c:pt idx="782">
                  <c:v>80</c:v>
                </c:pt>
                <c:pt idx="783">
                  <c:v>80</c:v>
                </c:pt>
                <c:pt idx="784">
                  <c:v>80</c:v>
                </c:pt>
                <c:pt idx="785">
                  <c:v>80</c:v>
                </c:pt>
                <c:pt idx="786">
                  <c:v>80</c:v>
                </c:pt>
                <c:pt idx="787">
                  <c:v>80</c:v>
                </c:pt>
                <c:pt idx="788">
                  <c:v>80</c:v>
                </c:pt>
                <c:pt idx="789">
                  <c:v>80</c:v>
                </c:pt>
                <c:pt idx="790">
                  <c:v>80</c:v>
                </c:pt>
                <c:pt idx="791">
                  <c:v>80</c:v>
                </c:pt>
                <c:pt idx="792">
                  <c:v>80</c:v>
                </c:pt>
                <c:pt idx="793">
                  <c:v>80</c:v>
                </c:pt>
                <c:pt idx="794">
                  <c:v>80</c:v>
                </c:pt>
                <c:pt idx="795">
                  <c:v>80</c:v>
                </c:pt>
                <c:pt idx="796">
                  <c:v>80</c:v>
                </c:pt>
                <c:pt idx="797">
                  <c:v>80</c:v>
                </c:pt>
                <c:pt idx="798">
                  <c:v>80</c:v>
                </c:pt>
                <c:pt idx="799">
                  <c:v>80</c:v>
                </c:pt>
                <c:pt idx="800">
                  <c:v>80</c:v>
                </c:pt>
                <c:pt idx="801">
                  <c:v>80</c:v>
                </c:pt>
                <c:pt idx="802">
                  <c:v>80</c:v>
                </c:pt>
                <c:pt idx="803">
                  <c:v>80</c:v>
                </c:pt>
                <c:pt idx="804">
                  <c:v>80</c:v>
                </c:pt>
                <c:pt idx="805">
                  <c:v>80</c:v>
                </c:pt>
                <c:pt idx="806">
                  <c:v>80</c:v>
                </c:pt>
                <c:pt idx="807">
                  <c:v>80</c:v>
                </c:pt>
                <c:pt idx="808">
                  <c:v>80</c:v>
                </c:pt>
                <c:pt idx="809">
                  <c:v>80</c:v>
                </c:pt>
                <c:pt idx="810">
                  <c:v>80</c:v>
                </c:pt>
                <c:pt idx="811">
                  <c:v>80</c:v>
                </c:pt>
                <c:pt idx="812">
                  <c:v>80</c:v>
                </c:pt>
                <c:pt idx="813">
                  <c:v>80</c:v>
                </c:pt>
                <c:pt idx="814">
                  <c:v>80</c:v>
                </c:pt>
                <c:pt idx="815">
                  <c:v>80</c:v>
                </c:pt>
                <c:pt idx="816">
                  <c:v>80</c:v>
                </c:pt>
                <c:pt idx="817">
                  <c:v>80</c:v>
                </c:pt>
                <c:pt idx="818">
                  <c:v>80</c:v>
                </c:pt>
                <c:pt idx="819">
                  <c:v>80</c:v>
                </c:pt>
                <c:pt idx="820">
                  <c:v>80</c:v>
                </c:pt>
                <c:pt idx="821">
                  <c:v>80</c:v>
                </c:pt>
                <c:pt idx="822">
                  <c:v>80</c:v>
                </c:pt>
                <c:pt idx="823">
                  <c:v>80</c:v>
                </c:pt>
                <c:pt idx="824">
                  <c:v>80</c:v>
                </c:pt>
                <c:pt idx="825">
                  <c:v>80</c:v>
                </c:pt>
                <c:pt idx="826">
                  <c:v>80</c:v>
                </c:pt>
                <c:pt idx="827">
                  <c:v>80</c:v>
                </c:pt>
                <c:pt idx="828">
                  <c:v>80</c:v>
                </c:pt>
                <c:pt idx="829">
                  <c:v>80</c:v>
                </c:pt>
                <c:pt idx="830">
                  <c:v>80</c:v>
                </c:pt>
                <c:pt idx="831">
                  <c:v>80</c:v>
                </c:pt>
                <c:pt idx="832">
                  <c:v>80</c:v>
                </c:pt>
                <c:pt idx="833">
                  <c:v>80</c:v>
                </c:pt>
                <c:pt idx="834">
                  <c:v>80</c:v>
                </c:pt>
                <c:pt idx="835">
                  <c:v>80</c:v>
                </c:pt>
                <c:pt idx="836">
                  <c:v>80</c:v>
                </c:pt>
                <c:pt idx="837">
                  <c:v>80</c:v>
                </c:pt>
                <c:pt idx="838">
                  <c:v>80</c:v>
                </c:pt>
                <c:pt idx="839">
                  <c:v>80</c:v>
                </c:pt>
                <c:pt idx="840">
                  <c:v>80</c:v>
                </c:pt>
                <c:pt idx="841">
                  <c:v>80</c:v>
                </c:pt>
                <c:pt idx="842">
                  <c:v>80</c:v>
                </c:pt>
                <c:pt idx="843">
                  <c:v>80</c:v>
                </c:pt>
                <c:pt idx="844">
                  <c:v>80</c:v>
                </c:pt>
                <c:pt idx="845">
                  <c:v>80</c:v>
                </c:pt>
                <c:pt idx="846">
                  <c:v>80</c:v>
                </c:pt>
                <c:pt idx="847">
                  <c:v>80</c:v>
                </c:pt>
                <c:pt idx="848">
                  <c:v>80</c:v>
                </c:pt>
                <c:pt idx="849">
                  <c:v>80</c:v>
                </c:pt>
                <c:pt idx="850">
                  <c:v>80</c:v>
                </c:pt>
                <c:pt idx="851">
                  <c:v>80</c:v>
                </c:pt>
                <c:pt idx="852">
                  <c:v>80</c:v>
                </c:pt>
                <c:pt idx="853">
                  <c:v>80</c:v>
                </c:pt>
                <c:pt idx="854">
                  <c:v>80</c:v>
                </c:pt>
                <c:pt idx="855">
                  <c:v>80</c:v>
                </c:pt>
                <c:pt idx="856">
                  <c:v>80</c:v>
                </c:pt>
                <c:pt idx="857">
                  <c:v>80</c:v>
                </c:pt>
                <c:pt idx="858">
                  <c:v>80</c:v>
                </c:pt>
                <c:pt idx="859">
                  <c:v>80</c:v>
                </c:pt>
                <c:pt idx="860">
                  <c:v>80</c:v>
                </c:pt>
                <c:pt idx="861">
                  <c:v>80</c:v>
                </c:pt>
                <c:pt idx="862">
                  <c:v>80</c:v>
                </c:pt>
                <c:pt idx="863">
                  <c:v>80</c:v>
                </c:pt>
                <c:pt idx="864">
                  <c:v>80</c:v>
                </c:pt>
                <c:pt idx="865">
                  <c:v>80</c:v>
                </c:pt>
                <c:pt idx="866">
                  <c:v>80</c:v>
                </c:pt>
                <c:pt idx="867">
                  <c:v>80</c:v>
                </c:pt>
                <c:pt idx="868">
                  <c:v>80</c:v>
                </c:pt>
                <c:pt idx="869">
                  <c:v>80</c:v>
                </c:pt>
                <c:pt idx="870">
                  <c:v>80</c:v>
                </c:pt>
                <c:pt idx="871">
                  <c:v>80</c:v>
                </c:pt>
                <c:pt idx="872">
                  <c:v>80</c:v>
                </c:pt>
                <c:pt idx="873">
                  <c:v>80</c:v>
                </c:pt>
                <c:pt idx="874">
                  <c:v>80</c:v>
                </c:pt>
                <c:pt idx="875">
                  <c:v>80</c:v>
                </c:pt>
                <c:pt idx="876">
                  <c:v>80</c:v>
                </c:pt>
                <c:pt idx="877">
                  <c:v>80</c:v>
                </c:pt>
                <c:pt idx="878">
                  <c:v>80</c:v>
                </c:pt>
                <c:pt idx="879">
                  <c:v>80</c:v>
                </c:pt>
                <c:pt idx="880">
                  <c:v>80</c:v>
                </c:pt>
                <c:pt idx="881">
                  <c:v>80</c:v>
                </c:pt>
                <c:pt idx="882">
                  <c:v>80</c:v>
                </c:pt>
                <c:pt idx="883">
                  <c:v>80</c:v>
                </c:pt>
                <c:pt idx="884">
                  <c:v>80</c:v>
                </c:pt>
                <c:pt idx="885">
                  <c:v>80</c:v>
                </c:pt>
                <c:pt idx="886">
                  <c:v>80</c:v>
                </c:pt>
                <c:pt idx="887">
                  <c:v>80</c:v>
                </c:pt>
                <c:pt idx="888">
                  <c:v>80</c:v>
                </c:pt>
                <c:pt idx="889">
                  <c:v>80</c:v>
                </c:pt>
                <c:pt idx="890">
                  <c:v>80</c:v>
                </c:pt>
                <c:pt idx="891">
                  <c:v>80</c:v>
                </c:pt>
                <c:pt idx="892">
                  <c:v>80</c:v>
                </c:pt>
                <c:pt idx="893">
                  <c:v>80</c:v>
                </c:pt>
                <c:pt idx="894">
                  <c:v>80</c:v>
                </c:pt>
                <c:pt idx="895">
                  <c:v>80</c:v>
                </c:pt>
                <c:pt idx="896">
                  <c:v>80</c:v>
                </c:pt>
                <c:pt idx="897">
                  <c:v>80</c:v>
                </c:pt>
                <c:pt idx="898">
                  <c:v>80</c:v>
                </c:pt>
                <c:pt idx="899">
                  <c:v>80</c:v>
                </c:pt>
                <c:pt idx="900">
                  <c:v>80</c:v>
                </c:pt>
                <c:pt idx="901">
                  <c:v>80</c:v>
                </c:pt>
                <c:pt idx="902">
                  <c:v>80</c:v>
                </c:pt>
                <c:pt idx="903">
                  <c:v>80</c:v>
                </c:pt>
                <c:pt idx="904">
                  <c:v>80</c:v>
                </c:pt>
                <c:pt idx="905">
                  <c:v>80</c:v>
                </c:pt>
                <c:pt idx="906">
                  <c:v>80</c:v>
                </c:pt>
                <c:pt idx="907">
                  <c:v>80</c:v>
                </c:pt>
                <c:pt idx="908">
                  <c:v>80</c:v>
                </c:pt>
                <c:pt idx="909">
                  <c:v>80</c:v>
                </c:pt>
                <c:pt idx="910">
                  <c:v>80</c:v>
                </c:pt>
                <c:pt idx="911">
                  <c:v>80</c:v>
                </c:pt>
                <c:pt idx="912">
                  <c:v>80</c:v>
                </c:pt>
                <c:pt idx="913">
                  <c:v>80</c:v>
                </c:pt>
                <c:pt idx="914">
                  <c:v>80</c:v>
                </c:pt>
                <c:pt idx="915">
                  <c:v>80</c:v>
                </c:pt>
                <c:pt idx="916">
                  <c:v>80</c:v>
                </c:pt>
                <c:pt idx="917">
                  <c:v>80</c:v>
                </c:pt>
                <c:pt idx="918">
                  <c:v>80</c:v>
                </c:pt>
                <c:pt idx="919">
                  <c:v>80</c:v>
                </c:pt>
                <c:pt idx="920">
                  <c:v>80</c:v>
                </c:pt>
                <c:pt idx="921">
                  <c:v>80</c:v>
                </c:pt>
                <c:pt idx="922">
                  <c:v>80</c:v>
                </c:pt>
                <c:pt idx="923">
                  <c:v>80</c:v>
                </c:pt>
                <c:pt idx="924">
                  <c:v>80</c:v>
                </c:pt>
                <c:pt idx="925">
                  <c:v>80</c:v>
                </c:pt>
                <c:pt idx="926">
                  <c:v>80</c:v>
                </c:pt>
                <c:pt idx="927">
                  <c:v>80</c:v>
                </c:pt>
                <c:pt idx="928">
                  <c:v>80</c:v>
                </c:pt>
                <c:pt idx="929">
                  <c:v>80</c:v>
                </c:pt>
                <c:pt idx="930">
                  <c:v>80</c:v>
                </c:pt>
                <c:pt idx="931">
                  <c:v>80</c:v>
                </c:pt>
                <c:pt idx="932">
                  <c:v>80</c:v>
                </c:pt>
                <c:pt idx="933">
                  <c:v>80</c:v>
                </c:pt>
                <c:pt idx="934">
                  <c:v>80</c:v>
                </c:pt>
                <c:pt idx="935">
                  <c:v>80</c:v>
                </c:pt>
                <c:pt idx="936">
                  <c:v>80</c:v>
                </c:pt>
                <c:pt idx="937">
                  <c:v>80</c:v>
                </c:pt>
                <c:pt idx="938">
                  <c:v>80</c:v>
                </c:pt>
                <c:pt idx="939">
                  <c:v>80</c:v>
                </c:pt>
                <c:pt idx="940">
                  <c:v>80</c:v>
                </c:pt>
                <c:pt idx="941">
                  <c:v>80</c:v>
                </c:pt>
                <c:pt idx="942">
                  <c:v>80</c:v>
                </c:pt>
                <c:pt idx="943">
                  <c:v>80</c:v>
                </c:pt>
                <c:pt idx="944">
                  <c:v>80</c:v>
                </c:pt>
                <c:pt idx="945">
                  <c:v>80</c:v>
                </c:pt>
                <c:pt idx="946">
                  <c:v>80</c:v>
                </c:pt>
                <c:pt idx="947">
                  <c:v>80</c:v>
                </c:pt>
                <c:pt idx="948">
                  <c:v>80</c:v>
                </c:pt>
                <c:pt idx="949">
                  <c:v>80</c:v>
                </c:pt>
                <c:pt idx="950">
                  <c:v>80</c:v>
                </c:pt>
                <c:pt idx="951">
                  <c:v>80</c:v>
                </c:pt>
                <c:pt idx="952">
                  <c:v>80</c:v>
                </c:pt>
                <c:pt idx="953">
                  <c:v>80</c:v>
                </c:pt>
                <c:pt idx="954">
                  <c:v>80</c:v>
                </c:pt>
                <c:pt idx="955">
                  <c:v>80</c:v>
                </c:pt>
                <c:pt idx="956">
                  <c:v>80</c:v>
                </c:pt>
                <c:pt idx="957">
                  <c:v>80</c:v>
                </c:pt>
                <c:pt idx="958">
                  <c:v>80</c:v>
                </c:pt>
                <c:pt idx="959">
                  <c:v>80</c:v>
                </c:pt>
                <c:pt idx="960">
                  <c:v>80</c:v>
                </c:pt>
                <c:pt idx="961">
                  <c:v>80</c:v>
                </c:pt>
                <c:pt idx="962">
                  <c:v>80</c:v>
                </c:pt>
                <c:pt idx="963">
                  <c:v>80</c:v>
                </c:pt>
                <c:pt idx="964">
                  <c:v>80</c:v>
                </c:pt>
                <c:pt idx="965">
                  <c:v>80</c:v>
                </c:pt>
                <c:pt idx="966">
                  <c:v>80</c:v>
                </c:pt>
                <c:pt idx="967">
                  <c:v>80</c:v>
                </c:pt>
                <c:pt idx="968">
                  <c:v>80</c:v>
                </c:pt>
                <c:pt idx="969">
                  <c:v>80</c:v>
                </c:pt>
                <c:pt idx="970">
                  <c:v>80</c:v>
                </c:pt>
                <c:pt idx="971">
                  <c:v>80</c:v>
                </c:pt>
                <c:pt idx="972">
                  <c:v>80</c:v>
                </c:pt>
                <c:pt idx="973">
                  <c:v>80</c:v>
                </c:pt>
                <c:pt idx="974">
                  <c:v>80</c:v>
                </c:pt>
                <c:pt idx="975">
                  <c:v>80</c:v>
                </c:pt>
                <c:pt idx="976">
                  <c:v>80</c:v>
                </c:pt>
                <c:pt idx="977">
                  <c:v>80</c:v>
                </c:pt>
                <c:pt idx="978">
                  <c:v>80</c:v>
                </c:pt>
                <c:pt idx="979">
                  <c:v>80</c:v>
                </c:pt>
                <c:pt idx="980">
                  <c:v>80</c:v>
                </c:pt>
                <c:pt idx="981">
                  <c:v>80</c:v>
                </c:pt>
                <c:pt idx="982">
                  <c:v>80</c:v>
                </c:pt>
                <c:pt idx="983">
                  <c:v>80</c:v>
                </c:pt>
                <c:pt idx="984">
                  <c:v>80</c:v>
                </c:pt>
                <c:pt idx="985">
                  <c:v>80</c:v>
                </c:pt>
                <c:pt idx="986">
                  <c:v>80</c:v>
                </c:pt>
                <c:pt idx="987">
                  <c:v>80</c:v>
                </c:pt>
                <c:pt idx="988">
                  <c:v>80</c:v>
                </c:pt>
                <c:pt idx="989">
                  <c:v>80</c:v>
                </c:pt>
                <c:pt idx="990">
                  <c:v>80</c:v>
                </c:pt>
                <c:pt idx="991">
                  <c:v>80</c:v>
                </c:pt>
                <c:pt idx="992">
                  <c:v>80</c:v>
                </c:pt>
                <c:pt idx="993">
                  <c:v>80</c:v>
                </c:pt>
                <c:pt idx="994">
                  <c:v>80</c:v>
                </c:pt>
                <c:pt idx="995">
                  <c:v>80</c:v>
                </c:pt>
                <c:pt idx="996">
                  <c:v>80</c:v>
                </c:pt>
                <c:pt idx="997">
                  <c:v>80</c:v>
                </c:pt>
                <c:pt idx="998">
                  <c:v>80</c:v>
                </c:pt>
                <c:pt idx="999">
                  <c:v>80</c:v>
                </c:pt>
                <c:pt idx="1000">
                  <c:v>80</c:v>
                </c:pt>
                <c:pt idx="1001">
                  <c:v>80</c:v>
                </c:pt>
                <c:pt idx="1002">
                  <c:v>80</c:v>
                </c:pt>
                <c:pt idx="1003">
                  <c:v>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C4-4A9E-BEDE-FE3670CE0C4E}"/>
            </c:ext>
          </c:extLst>
        </c:ser>
        <c:ser>
          <c:idx val="1"/>
          <c:order val="1"/>
          <c:tx>
            <c:strRef>
              <c:f>'Data In'!$D$1:$D$3</c:f>
              <c:strCache>
                <c:ptCount val="3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'Data In'!$B$4:$B$1807</c:f>
              <c:strCache>
                <c:ptCount val="1004"/>
                <c:pt idx="0">
                  <c:v>CH1</c:v>
                </c:pt>
                <c:pt idx="1">
                  <c:v>100.1</c:v>
                </c:pt>
                <c:pt idx="3">
                  <c:v>CH1</c:v>
                </c:pt>
                <c:pt idx="4">
                  <c:v>0.2</c:v>
                </c:pt>
                <c:pt idx="5">
                  <c:v>0.3</c:v>
                </c:pt>
                <c:pt idx="6">
                  <c:v>0.4</c:v>
                </c:pt>
                <c:pt idx="7">
                  <c:v>0.5</c:v>
                </c:pt>
                <c:pt idx="8">
                  <c:v>0.6</c:v>
                </c:pt>
                <c:pt idx="9">
                  <c:v>0.7</c:v>
                </c:pt>
                <c:pt idx="10">
                  <c:v>0.8</c:v>
                </c:pt>
                <c:pt idx="11">
                  <c:v>0.9</c:v>
                </c:pt>
                <c:pt idx="12">
                  <c:v>1</c:v>
                </c:pt>
                <c:pt idx="13">
                  <c:v>1.1</c:v>
                </c:pt>
                <c:pt idx="14">
                  <c:v>1.2</c:v>
                </c:pt>
                <c:pt idx="15">
                  <c:v>1.3</c:v>
                </c:pt>
                <c:pt idx="16">
                  <c:v>1.4</c:v>
                </c:pt>
                <c:pt idx="17">
                  <c:v>1.5</c:v>
                </c:pt>
                <c:pt idx="18">
                  <c:v>1.6</c:v>
                </c:pt>
                <c:pt idx="19">
                  <c:v>1.7</c:v>
                </c:pt>
                <c:pt idx="20">
                  <c:v>1.8</c:v>
                </c:pt>
                <c:pt idx="21">
                  <c:v>1.9</c:v>
                </c:pt>
                <c:pt idx="22">
                  <c:v>2</c:v>
                </c:pt>
                <c:pt idx="23">
                  <c:v>2.1</c:v>
                </c:pt>
                <c:pt idx="24">
                  <c:v>2.2</c:v>
                </c:pt>
                <c:pt idx="25">
                  <c:v>2.3</c:v>
                </c:pt>
                <c:pt idx="26">
                  <c:v>2.4</c:v>
                </c:pt>
                <c:pt idx="27">
                  <c:v>2.5</c:v>
                </c:pt>
                <c:pt idx="28">
                  <c:v>2.6</c:v>
                </c:pt>
                <c:pt idx="29">
                  <c:v>2.7</c:v>
                </c:pt>
                <c:pt idx="30">
                  <c:v>2.8</c:v>
                </c:pt>
                <c:pt idx="31">
                  <c:v>2.9</c:v>
                </c:pt>
                <c:pt idx="32">
                  <c:v>3</c:v>
                </c:pt>
                <c:pt idx="33">
                  <c:v>3.1</c:v>
                </c:pt>
                <c:pt idx="34">
                  <c:v>3.2</c:v>
                </c:pt>
                <c:pt idx="35">
                  <c:v>3.3</c:v>
                </c:pt>
                <c:pt idx="36">
                  <c:v>3.4</c:v>
                </c:pt>
                <c:pt idx="37">
                  <c:v>3.5</c:v>
                </c:pt>
                <c:pt idx="38">
                  <c:v>3.6</c:v>
                </c:pt>
                <c:pt idx="39">
                  <c:v>3.7</c:v>
                </c:pt>
                <c:pt idx="40">
                  <c:v>3.8</c:v>
                </c:pt>
                <c:pt idx="41">
                  <c:v>3.9</c:v>
                </c:pt>
                <c:pt idx="42">
                  <c:v>4</c:v>
                </c:pt>
                <c:pt idx="43">
                  <c:v>4.1</c:v>
                </c:pt>
                <c:pt idx="44">
                  <c:v>4.2</c:v>
                </c:pt>
                <c:pt idx="45">
                  <c:v>4.3</c:v>
                </c:pt>
                <c:pt idx="46">
                  <c:v>4.4</c:v>
                </c:pt>
                <c:pt idx="47">
                  <c:v>4.5</c:v>
                </c:pt>
                <c:pt idx="48">
                  <c:v>4.6</c:v>
                </c:pt>
                <c:pt idx="49">
                  <c:v>4.7</c:v>
                </c:pt>
                <c:pt idx="50">
                  <c:v>4.8</c:v>
                </c:pt>
                <c:pt idx="51">
                  <c:v>4.9</c:v>
                </c:pt>
                <c:pt idx="52">
                  <c:v>5</c:v>
                </c:pt>
                <c:pt idx="53">
                  <c:v>5.1</c:v>
                </c:pt>
                <c:pt idx="54">
                  <c:v>5.2</c:v>
                </c:pt>
                <c:pt idx="55">
                  <c:v>5.3</c:v>
                </c:pt>
                <c:pt idx="56">
                  <c:v>5.4</c:v>
                </c:pt>
                <c:pt idx="57">
                  <c:v>5.5</c:v>
                </c:pt>
                <c:pt idx="58">
                  <c:v>5.6</c:v>
                </c:pt>
                <c:pt idx="59">
                  <c:v>5.7</c:v>
                </c:pt>
                <c:pt idx="60">
                  <c:v>5.8</c:v>
                </c:pt>
                <c:pt idx="61">
                  <c:v>5.9</c:v>
                </c:pt>
                <c:pt idx="62">
                  <c:v>6</c:v>
                </c:pt>
                <c:pt idx="63">
                  <c:v>6.1</c:v>
                </c:pt>
                <c:pt idx="64">
                  <c:v>6.2</c:v>
                </c:pt>
                <c:pt idx="65">
                  <c:v>6.3</c:v>
                </c:pt>
                <c:pt idx="66">
                  <c:v>6.4</c:v>
                </c:pt>
                <c:pt idx="67">
                  <c:v>6.5</c:v>
                </c:pt>
                <c:pt idx="68">
                  <c:v>6.6</c:v>
                </c:pt>
                <c:pt idx="69">
                  <c:v>6.7</c:v>
                </c:pt>
                <c:pt idx="70">
                  <c:v>6.8</c:v>
                </c:pt>
                <c:pt idx="71">
                  <c:v>6.9</c:v>
                </c:pt>
                <c:pt idx="72">
                  <c:v>7</c:v>
                </c:pt>
                <c:pt idx="73">
                  <c:v>7.1</c:v>
                </c:pt>
                <c:pt idx="74">
                  <c:v>7.2</c:v>
                </c:pt>
                <c:pt idx="75">
                  <c:v>7.3</c:v>
                </c:pt>
                <c:pt idx="76">
                  <c:v>7.4</c:v>
                </c:pt>
                <c:pt idx="77">
                  <c:v>7.5</c:v>
                </c:pt>
                <c:pt idx="78">
                  <c:v>7.6</c:v>
                </c:pt>
                <c:pt idx="79">
                  <c:v>7.7</c:v>
                </c:pt>
                <c:pt idx="80">
                  <c:v>7.8</c:v>
                </c:pt>
                <c:pt idx="81">
                  <c:v>7.9</c:v>
                </c:pt>
                <c:pt idx="82">
                  <c:v>8</c:v>
                </c:pt>
                <c:pt idx="83">
                  <c:v>8.1</c:v>
                </c:pt>
                <c:pt idx="84">
                  <c:v>8.2</c:v>
                </c:pt>
                <c:pt idx="85">
                  <c:v>8.3</c:v>
                </c:pt>
                <c:pt idx="86">
                  <c:v>8.4</c:v>
                </c:pt>
                <c:pt idx="87">
                  <c:v>8.5</c:v>
                </c:pt>
                <c:pt idx="88">
                  <c:v>8.6</c:v>
                </c:pt>
                <c:pt idx="89">
                  <c:v>8.7</c:v>
                </c:pt>
                <c:pt idx="90">
                  <c:v>8.8</c:v>
                </c:pt>
                <c:pt idx="91">
                  <c:v>8.9</c:v>
                </c:pt>
                <c:pt idx="92">
                  <c:v>9</c:v>
                </c:pt>
                <c:pt idx="93">
                  <c:v>9.1</c:v>
                </c:pt>
                <c:pt idx="94">
                  <c:v>9.2</c:v>
                </c:pt>
                <c:pt idx="95">
                  <c:v>9.3</c:v>
                </c:pt>
                <c:pt idx="96">
                  <c:v>9.4</c:v>
                </c:pt>
                <c:pt idx="97">
                  <c:v>9.5</c:v>
                </c:pt>
                <c:pt idx="98">
                  <c:v>9.6</c:v>
                </c:pt>
                <c:pt idx="99">
                  <c:v>9.7</c:v>
                </c:pt>
                <c:pt idx="100">
                  <c:v>9.8</c:v>
                </c:pt>
                <c:pt idx="101">
                  <c:v>9.9</c:v>
                </c:pt>
                <c:pt idx="102">
                  <c:v>10</c:v>
                </c:pt>
                <c:pt idx="103">
                  <c:v>10.1</c:v>
                </c:pt>
                <c:pt idx="104">
                  <c:v>10.2</c:v>
                </c:pt>
                <c:pt idx="105">
                  <c:v>10.3</c:v>
                </c:pt>
                <c:pt idx="106">
                  <c:v>10.4</c:v>
                </c:pt>
                <c:pt idx="107">
                  <c:v>10.5</c:v>
                </c:pt>
                <c:pt idx="108">
                  <c:v>10.6</c:v>
                </c:pt>
                <c:pt idx="109">
                  <c:v>10.7</c:v>
                </c:pt>
                <c:pt idx="110">
                  <c:v>10.8</c:v>
                </c:pt>
                <c:pt idx="111">
                  <c:v>10.9</c:v>
                </c:pt>
                <c:pt idx="112">
                  <c:v>11</c:v>
                </c:pt>
                <c:pt idx="113">
                  <c:v>11.1</c:v>
                </c:pt>
                <c:pt idx="114">
                  <c:v>11.2</c:v>
                </c:pt>
                <c:pt idx="115">
                  <c:v>11.3</c:v>
                </c:pt>
                <c:pt idx="116">
                  <c:v>11.4</c:v>
                </c:pt>
                <c:pt idx="117">
                  <c:v>11.5</c:v>
                </c:pt>
                <c:pt idx="118">
                  <c:v>11.6</c:v>
                </c:pt>
                <c:pt idx="119">
                  <c:v>11.7</c:v>
                </c:pt>
                <c:pt idx="120">
                  <c:v>11.8</c:v>
                </c:pt>
                <c:pt idx="121">
                  <c:v>11.9</c:v>
                </c:pt>
                <c:pt idx="122">
                  <c:v>12</c:v>
                </c:pt>
                <c:pt idx="123">
                  <c:v>12.1</c:v>
                </c:pt>
                <c:pt idx="124">
                  <c:v>12.2</c:v>
                </c:pt>
                <c:pt idx="125">
                  <c:v>12.3</c:v>
                </c:pt>
                <c:pt idx="126">
                  <c:v>12.4</c:v>
                </c:pt>
                <c:pt idx="127">
                  <c:v>12.5</c:v>
                </c:pt>
                <c:pt idx="128">
                  <c:v>12.6</c:v>
                </c:pt>
                <c:pt idx="129">
                  <c:v>12.7</c:v>
                </c:pt>
                <c:pt idx="130">
                  <c:v>12.8</c:v>
                </c:pt>
                <c:pt idx="131">
                  <c:v>12.9</c:v>
                </c:pt>
                <c:pt idx="132">
                  <c:v>13</c:v>
                </c:pt>
                <c:pt idx="133">
                  <c:v>13.1</c:v>
                </c:pt>
                <c:pt idx="134">
                  <c:v>13.2</c:v>
                </c:pt>
                <c:pt idx="135">
                  <c:v>13.3</c:v>
                </c:pt>
                <c:pt idx="136">
                  <c:v>13.4</c:v>
                </c:pt>
                <c:pt idx="137">
                  <c:v>13.5</c:v>
                </c:pt>
                <c:pt idx="138">
                  <c:v>13.6</c:v>
                </c:pt>
                <c:pt idx="139">
                  <c:v>13.7</c:v>
                </c:pt>
                <c:pt idx="140">
                  <c:v>13.8</c:v>
                </c:pt>
                <c:pt idx="141">
                  <c:v>13.9</c:v>
                </c:pt>
                <c:pt idx="142">
                  <c:v>14</c:v>
                </c:pt>
                <c:pt idx="143">
                  <c:v>14.1</c:v>
                </c:pt>
                <c:pt idx="144">
                  <c:v>14.2</c:v>
                </c:pt>
                <c:pt idx="145">
                  <c:v>14.3</c:v>
                </c:pt>
                <c:pt idx="146">
                  <c:v>14.4</c:v>
                </c:pt>
                <c:pt idx="147">
                  <c:v>14.5</c:v>
                </c:pt>
                <c:pt idx="148">
                  <c:v>14.6</c:v>
                </c:pt>
                <c:pt idx="149">
                  <c:v>14.7</c:v>
                </c:pt>
                <c:pt idx="150">
                  <c:v>14.8</c:v>
                </c:pt>
                <c:pt idx="151">
                  <c:v>14.9</c:v>
                </c:pt>
                <c:pt idx="152">
                  <c:v>15</c:v>
                </c:pt>
                <c:pt idx="153">
                  <c:v>15.1</c:v>
                </c:pt>
                <c:pt idx="154">
                  <c:v>15.2</c:v>
                </c:pt>
                <c:pt idx="155">
                  <c:v>15.3</c:v>
                </c:pt>
                <c:pt idx="156">
                  <c:v>15.4</c:v>
                </c:pt>
                <c:pt idx="157">
                  <c:v>15.5</c:v>
                </c:pt>
                <c:pt idx="158">
                  <c:v>15.6</c:v>
                </c:pt>
                <c:pt idx="159">
                  <c:v>15.7</c:v>
                </c:pt>
                <c:pt idx="160">
                  <c:v>15.8</c:v>
                </c:pt>
                <c:pt idx="161">
                  <c:v>15.9</c:v>
                </c:pt>
                <c:pt idx="162">
                  <c:v>16</c:v>
                </c:pt>
                <c:pt idx="163">
                  <c:v>16.1</c:v>
                </c:pt>
                <c:pt idx="164">
                  <c:v>16.2</c:v>
                </c:pt>
                <c:pt idx="165">
                  <c:v>16.3</c:v>
                </c:pt>
                <c:pt idx="166">
                  <c:v>16.4</c:v>
                </c:pt>
                <c:pt idx="167">
                  <c:v>16.5</c:v>
                </c:pt>
                <c:pt idx="168">
                  <c:v>16.6</c:v>
                </c:pt>
                <c:pt idx="169">
                  <c:v>16.7</c:v>
                </c:pt>
                <c:pt idx="170">
                  <c:v>16.8</c:v>
                </c:pt>
                <c:pt idx="171">
                  <c:v>16.9</c:v>
                </c:pt>
                <c:pt idx="172">
                  <c:v>17</c:v>
                </c:pt>
                <c:pt idx="173">
                  <c:v>17.1</c:v>
                </c:pt>
                <c:pt idx="174">
                  <c:v>17.2</c:v>
                </c:pt>
                <c:pt idx="175">
                  <c:v>17.3</c:v>
                </c:pt>
                <c:pt idx="176">
                  <c:v>17.4</c:v>
                </c:pt>
                <c:pt idx="177">
                  <c:v>17.5</c:v>
                </c:pt>
                <c:pt idx="178">
                  <c:v>17.6</c:v>
                </c:pt>
                <c:pt idx="179">
                  <c:v>17.7</c:v>
                </c:pt>
                <c:pt idx="180">
                  <c:v>17.8</c:v>
                </c:pt>
                <c:pt idx="181">
                  <c:v>17.9</c:v>
                </c:pt>
                <c:pt idx="182">
                  <c:v>18</c:v>
                </c:pt>
                <c:pt idx="183">
                  <c:v>18.1</c:v>
                </c:pt>
                <c:pt idx="184">
                  <c:v>18.2</c:v>
                </c:pt>
                <c:pt idx="185">
                  <c:v>18.3</c:v>
                </c:pt>
                <c:pt idx="186">
                  <c:v>18.4</c:v>
                </c:pt>
                <c:pt idx="187">
                  <c:v>18.5</c:v>
                </c:pt>
                <c:pt idx="188">
                  <c:v>18.6</c:v>
                </c:pt>
                <c:pt idx="189">
                  <c:v>18.7</c:v>
                </c:pt>
                <c:pt idx="190">
                  <c:v>18.8</c:v>
                </c:pt>
                <c:pt idx="191">
                  <c:v>18.9</c:v>
                </c:pt>
                <c:pt idx="192">
                  <c:v>19</c:v>
                </c:pt>
                <c:pt idx="193">
                  <c:v>19.1</c:v>
                </c:pt>
                <c:pt idx="194">
                  <c:v>19.2</c:v>
                </c:pt>
                <c:pt idx="195">
                  <c:v>19.3</c:v>
                </c:pt>
                <c:pt idx="196">
                  <c:v>19.4</c:v>
                </c:pt>
                <c:pt idx="197">
                  <c:v>19.5</c:v>
                </c:pt>
                <c:pt idx="198">
                  <c:v>19.6</c:v>
                </c:pt>
                <c:pt idx="199">
                  <c:v>19.7</c:v>
                </c:pt>
                <c:pt idx="200">
                  <c:v>19.8</c:v>
                </c:pt>
                <c:pt idx="201">
                  <c:v>19.9</c:v>
                </c:pt>
                <c:pt idx="202">
                  <c:v>20</c:v>
                </c:pt>
                <c:pt idx="203">
                  <c:v>20.1</c:v>
                </c:pt>
                <c:pt idx="204">
                  <c:v>20.2</c:v>
                </c:pt>
                <c:pt idx="205">
                  <c:v>20.3</c:v>
                </c:pt>
                <c:pt idx="206">
                  <c:v>20.4</c:v>
                </c:pt>
                <c:pt idx="207">
                  <c:v>20.5</c:v>
                </c:pt>
                <c:pt idx="208">
                  <c:v>20.6</c:v>
                </c:pt>
                <c:pt idx="209">
                  <c:v>20.7</c:v>
                </c:pt>
                <c:pt idx="210">
                  <c:v>20.8</c:v>
                </c:pt>
                <c:pt idx="211">
                  <c:v>20.9</c:v>
                </c:pt>
                <c:pt idx="212">
                  <c:v>21</c:v>
                </c:pt>
                <c:pt idx="213">
                  <c:v>21.1</c:v>
                </c:pt>
                <c:pt idx="214">
                  <c:v>21.2</c:v>
                </c:pt>
                <c:pt idx="215">
                  <c:v>21.3</c:v>
                </c:pt>
                <c:pt idx="216">
                  <c:v>21.4</c:v>
                </c:pt>
                <c:pt idx="217">
                  <c:v>21.5</c:v>
                </c:pt>
                <c:pt idx="218">
                  <c:v>21.6</c:v>
                </c:pt>
                <c:pt idx="219">
                  <c:v>21.7</c:v>
                </c:pt>
                <c:pt idx="220">
                  <c:v>21.8</c:v>
                </c:pt>
                <c:pt idx="221">
                  <c:v>21.9</c:v>
                </c:pt>
                <c:pt idx="222">
                  <c:v>22</c:v>
                </c:pt>
                <c:pt idx="223">
                  <c:v>22.0.43</c:v>
                </c:pt>
                <c:pt idx="224">
                  <c:v>22.2</c:v>
                </c:pt>
                <c:pt idx="225">
                  <c:v>22.3</c:v>
                </c:pt>
                <c:pt idx="226">
                  <c:v>22.4</c:v>
                </c:pt>
                <c:pt idx="227">
                  <c:v>22.5</c:v>
                </c:pt>
                <c:pt idx="228">
                  <c:v>22.6</c:v>
                </c:pt>
                <c:pt idx="229">
                  <c:v>22.7</c:v>
                </c:pt>
                <c:pt idx="230">
                  <c:v>22.8</c:v>
                </c:pt>
                <c:pt idx="231">
                  <c:v>22.9</c:v>
                </c:pt>
                <c:pt idx="232">
                  <c:v>23</c:v>
                </c:pt>
                <c:pt idx="233">
                  <c:v>23.1</c:v>
                </c:pt>
                <c:pt idx="234">
                  <c:v>23.2</c:v>
                </c:pt>
                <c:pt idx="235">
                  <c:v>23.3</c:v>
                </c:pt>
                <c:pt idx="236">
                  <c:v>23.4</c:v>
                </c:pt>
                <c:pt idx="237">
                  <c:v>23.5</c:v>
                </c:pt>
                <c:pt idx="238">
                  <c:v>23.6</c:v>
                </c:pt>
                <c:pt idx="239">
                  <c:v>23.7</c:v>
                </c:pt>
                <c:pt idx="240">
                  <c:v>23.8</c:v>
                </c:pt>
                <c:pt idx="241">
                  <c:v>23.9</c:v>
                </c:pt>
                <c:pt idx="242">
                  <c:v>24</c:v>
                </c:pt>
                <c:pt idx="243">
                  <c:v>24.1</c:v>
                </c:pt>
                <c:pt idx="244">
                  <c:v>24.2</c:v>
                </c:pt>
                <c:pt idx="245">
                  <c:v>24.3</c:v>
                </c:pt>
                <c:pt idx="246">
                  <c:v>24.4</c:v>
                </c:pt>
                <c:pt idx="247">
                  <c:v>24.5</c:v>
                </c:pt>
                <c:pt idx="248">
                  <c:v>24.6</c:v>
                </c:pt>
                <c:pt idx="249">
                  <c:v>24.7</c:v>
                </c:pt>
                <c:pt idx="250">
                  <c:v>24.8</c:v>
                </c:pt>
                <c:pt idx="251">
                  <c:v>24.9</c:v>
                </c:pt>
                <c:pt idx="252">
                  <c:v>25</c:v>
                </c:pt>
                <c:pt idx="253">
                  <c:v>25.1</c:v>
                </c:pt>
                <c:pt idx="254">
                  <c:v>25.2</c:v>
                </c:pt>
                <c:pt idx="255">
                  <c:v>25.3</c:v>
                </c:pt>
                <c:pt idx="256">
                  <c:v>25.4</c:v>
                </c:pt>
                <c:pt idx="257">
                  <c:v>25.5</c:v>
                </c:pt>
                <c:pt idx="258">
                  <c:v>25.6</c:v>
                </c:pt>
                <c:pt idx="259">
                  <c:v>25.7</c:v>
                </c:pt>
                <c:pt idx="260">
                  <c:v>25.8</c:v>
                </c:pt>
                <c:pt idx="261">
                  <c:v>25.9</c:v>
                </c:pt>
                <c:pt idx="262">
                  <c:v>26</c:v>
                </c:pt>
                <c:pt idx="263">
                  <c:v>26.1</c:v>
                </c:pt>
                <c:pt idx="264">
                  <c:v>26.2</c:v>
                </c:pt>
                <c:pt idx="265">
                  <c:v>26.3</c:v>
                </c:pt>
                <c:pt idx="266">
                  <c:v>26.4</c:v>
                </c:pt>
                <c:pt idx="267">
                  <c:v>26.5</c:v>
                </c:pt>
                <c:pt idx="268">
                  <c:v>26.6</c:v>
                </c:pt>
                <c:pt idx="269">
                  <c:v>26.7</c:v>
                </c:pt>
                <c:pt idx="270">
                  <c:v>26.8</c:v>
                </c:pt>
                <c:pt idx="271">
                  <c:v>26.9</c:v>
                </c:pt>
                <c:pt idx="272">
                  <c:v>27</c:v>
                </c:pt>
                <c:pt idx="273">
                  <c:v>27.1</c:v>
                </c:pt>
                <c:pt idx="274">
                  <c:v>27.2</c:v>
                </c:pt>
                <c:pt idx="275">
                  <c:v>27.3</c:v>
                </c:pt>
                <c:pt idx="276">
                  <c:v>27.4</c:v>
                </c:pt>
                <c:pt idx="277">
                  <c:v>27.5</c:v>
                </c:pt>
                <c:pt idx="278">
                  <c:v>27.6</c:v>
                </c:pt>
                <c:pt idx="279">
                  <c:v>27.7</c:v>
                </c:pt>
                <c:pt idx="280">
                  <c:v>27.8</c:v>
                </c:pt>
                <c:pt idx="281">
                  <c:v>27.9</c:v>
                </c:pt>
                <c:pt idx="282">
                  <c:v>28</c:v>
                </c:pt>
                <c:pt idx="283">
                  <c:v>28.1</c:v>
                </c:pt>
                <c:pt idx="284">
                  <c:v>28.2</c:v>
                </c:pt>
                <c:pt idx="285">
                  <c:v>28.3</c:v>
                </c:pt>
                <c:pt idx="286">
                  <c:v>28.4</c:v>
                </c:pt>
                <c:pt idx="287">
                  <c:v>28.5</c:v>
                </c:pt>
                <c:pt idx="288">
                  <c:v>28.6</c:v>
                </c:pt>
                <c:pt idx="289">
                  <c:v>28.7</c:v>
                </c:pt>
                <c:pt idx="290">
                  <c:v>28.8</c:v>
                </c:pt>
                <c:pt idx="291">
                  <c:v>28.9</c:v>
                </c:pt>
                <c:pt idx="292">
                  <c:v>29</c:v>
                </c:pt>
                <c:pt idx="293">
                  <c:v>29.1</c:v>
                </c:pt>
                <c:pt idx="294">
                  <c:v>29.2</c:v>
                </c:pt>
                <c:pt idx="295">
                  <c:v>29.3</c:v>
                </c:pt>
                <c:pt idx="296">
                  <c:v>29.4</c:v>
                </c:pt>
                <c:pt idx="297">
                  <c:v>29.5</c:v>
                </c:pt>
                <c:pt idx="298">
                  <c:v>29.6</c:v>
                </c:pt>
                <c:pt idx="299">
                  <c:v>29.7</c:v>
                </c:pt>
                <c:pt idx="300">
                  <c:v>29.8</c:v>
                </c:pt>
                <c:pt idx="301">
                  <c:v>29.9</c:v>
                </c:pt>
                <c:pt idx="302">
                  <c:v>30</c:v>
                </c:pt>
                <c:pt idx="303">
                  <c:v>30.1</c:v>
                </c:pt>
                <c:pt idx="304">
                  <c:v>30.2</c:v>
                </c:pt>
                <c:pt idx="305">
                  <c:v>30.3</c:v>
                </c:pt>
                <c:pt idx="306">
                  <c:v>30.4</c:v>
                </c:pt>
                <c:pt idx="307">
                  <c:v>30.5</c:v>
                </c:pt>
                <c:pt idx="308">
                  <c:v>30.6</c:v>
                </c:pt>
                <c:pt idx="309">
                  <c:v>30.7</c:v>
                </c:pt>
                <c:pt idx="310">
                  <c:v>30.8</c:v>
                </c:pt>
                <c:pt idx="311">
                  <c:v>30.9</c:v>
                </c:pt>
                <c:pt idx="312">
                  <c:v>31</c:v>
                </c:pt>
                <c:pt idx="313">
                  <c:v>31.1</c:v>
                </c:pt>
                <c:pt idx="314">
                  <c:v>31.2</c:v>
                </c:pt>
                <c:pt idx="315">
                  <c:v>31.3</c:v>
                </c:pt>
                <c:pt idx="316">
                  <c:v>31.4</c:v>
                </c:pt>
                <c:pt idx="317">
                  <c:v>31.5</c:v>
                </c:pt>
                <c:pt idx="318">
                  <c:v>31.6</c:v>
                </c:pt>
                <c:pt idx="319">
                  <c:v>31.7</c:v>
                </c:pt>
                <c:pt idx="320">
                  <c:v>31.8</c:v>
                </c:pt>
                <c:pt idx="321">
                  <c:v>31.9</c:v>
                </c:pt>
                <c:pt idx="322">
                  <c:v>32</c:v>
                </c:pt>
                <c:pt idx="323">
                  <c:v>32.1</c:v>
                </c:pt>
                <c:pt idx="324">
                  <c:v>32.2</c:v>
                </c:pt>
                <c:pt idx="325">
                  <c:v>32.3</c:v>
                </c:pt>
                <c:pt idx="326">
                  <c:v>32.4</c:v>
                </c:pt>
                <c:pt idx="327">
                  <c:v>32.5</c:v>
                </c:pt>
                <c:pt idx="328">
                  <c:v>32.6</c:v>
                </c:pt>
                <c:pt idx="329">
                  <c:v>32.7</c:v>
                </c:pt>
                <c:pt idx="330">
                  <c:v>32.8</c:v>
                </c:pt>
                <c:pt idx="331">
                  <c:v>32.9</c:v>
                </c:pt>
                <c:pt idx="332">
                  <c:v>33</c:v>
                </c:pt>
                <c:pt idx="333">
                  <c:v>33.1</c:v>
                </c:pt>
                <c:pt idx="334">
                  <c:v>33.2</c:v>
                </c:pt>
                <c:pt idx="335">
                  <c:v>33.3</c:v>
                </c:pt>
                <c:pt idx="336">
                  <c:v>33.4</c:v>
                </c:pt>
                <c:pt idx="337">
                  <c:v>33.5</c:v>
                </c:pt>
                <c:pt idx="338">
                  <c:v>33.6</c:v>
                </c:pt>
                <c:pt idx="339">
                  <c:v>33.7</c:v>
                </c:pt>
                <c:pt idx="340">
                  <c:v>33.8</c:v>
                </c:pt>
                <c:pt idx="341">
                  <c:v>33.9</c:v>
                </c:pt>
                <c:pt idx="342">
                  <c:v>34</c:v>
                </c:pt>
                <c:pt idx="343">
                  <c:v>34.1</c:v>
                </c:pt>
                <c:pt idx="344">
                  <c:v>34.2</c:v>
                </c:pt>
                <c:pt idx="345">
                  <c:v>34.3</c:v>
                </c:pt>
                <c:pt idx="346">
                  <c:v>34.4</c:v>
                </c:pt>
                <c:pt idx="347">
                  <c:v>34.5</c:v>
                </c:pt>
                <c:pt idx="348">
                  <c:v>34.6</c:v>
                </c:pt>
                <c:pt idx="349">
                  <c:v>34.7</c:v>
                </c:pt>
                <c:pt idx="350">
                  <c:v>34.8</c:v>
                </c:pt>
                <c:pt idx="351">
                  <c:v>34.9</c:v>
                </c:pt>
                <c:pt idx="352">
                  <c:v>35</c:v>
                </c:pt>
                <c:pt idx="353">
                  <c:v>35.1</c:v>
                </c:pt>
                <c:pt idx="354">
                  <c:v>35.2</c:v>
                </c:pt>
                <c:pt idx="355">
                  <c:v>35.3</c:v>
                </c:pt>
                <c:pt idx="356">
                  <c:v>35.4</c:v>
                </c:pt>
                <c:pt idx="357">
                  <c:v>35.5</c:v>
                </c:pt>
                <c:pt idx="358">
                  <c:v>35.6</c:v>
                </c:pt>
                <c:pt idx="359">
                  <c:v>35.7</c:v>
                </c:pt>
                <c:pt idx="360">
                  <c:v>35.8</c:v>
                </c:pt>
                <c:pt idx="361">
                  <c:v>35.9</c:v>
                </c:pt>
                <c:pt idx="362">
                  <c:v>36</c:v>
                </c:pt>
                <c:pt idx="363">
                  <c:v>36.1</c:v>
                </c:pt>
                <c:pt idx="364">
                  <c:v>36.2</c:v>
                </c:pt>
                <c:pt idx="365">
                  <c:v>36.3</c:v>
                </c:pt>
                <c:pt idx="366">
                  <c:v>36.4</c:v>
                </c:pt>
                <c:pt idx="367">
                  <c:v>36.5</c:v>
                </c:pt>
                <c:pt idx="368">
                  <c:v>36.6</c:v>
                </c:pt>
                <c:pt idx="369">
                  <c:v>36.7</c:v>
                </c:pt>
                <c:pt idx="370">
                  <c:v>36.8</c:v>
                </c:pt>
                <c:pt idx="371">
                  <c:v>36.9</c:v>
                </c:pt>
                <c:pt idx="372">
                  <c:v>37</c:v>
                </c:pt>
                <c:pt idx="373">
                  <c:v>37.1</c:v>
                </c:pt>
                <c:pt idx="374">
                  <c:v>37.2</c:v>
                </c:pt>
                <c:pt idx="375">
                  <c:v>37.3</c:v>
                </c:pt>
                <c:pt idx="376">
                  <c:v>37.4</c:v>
                </c:pt>
                <c:pt idx="377">
                  <c:v>37.5</c:v>
                </c:pt>
                <c:pt idx="378">
                  <c:v>37.6</c:v>
                </c:pt>
                <c:pt idx="379">
                  <c:v>37.7</c:v>
                </c:pt>
                <c:pt idx="380">
                  <c:v>37.8</c:v>
                </c:pt>
                <c:pt idx="381">
                  <c:v>37.9</c:v>
                </c:pt>
                <c:pt idx="382">
                  <c:v>38</c:v>
                </c:pt>
                <c:pt idx="383">
                  <c:v>38.1</c:v>
                </c:pt>
                <c:pt idx="384">
                  <c:v>38.2</c:v>
                </c:pt>
                <c:pt idx="385">
                  <c:v>38.3</c:v>
                </c:pt>
                <c:pt idx="386">
                  <c:v>38.4</c:v>
                </c:pt>
                <c:pt idx="387">
                  <c:v>38.5</c:v>
                </c:pt>
                <c:pt idx="388">
                  <c:v>38.6</c:v>
                </c:pt>
                <c:pt idx="389">
                  <c:v>38.7</c:v>
                </c:pt>
                <c:pt idx="390">
                  <c:v>38.8</c:v>
                </c:pt>
                <c:pt idx="391">
                  <c:v>38.9</c:v>
                </c:pt>
                <c:pt idx="392">
                  <c:v>39</c:v>
                </c:pt>
                <c:pt idx="393">
                  <c:v>39.1</c:v>
                </c:pt>
                <c:pt idx="394">
                  <c:v>39.2</c:v>
                </c:pt>
                <c:pt idx="395">
                  <c:v>39.3</c:v>
                </c:pt>
                <c:pt idx="396">
                  <c:v>39.4</c:v>
                </c:pt>
                <c:pt idx="397">
                  <c:v>39.5</c:v>
                </c:pt>
                <c:pt idx="398">
                  <c:v>39.6</c:v>
                </c:pt>
                <c:pt idx="399">
                  <c:v>39.7</c:v>
                </c:pt>
                <c:pt idx="400">
                  <c:v>39.8</c:v>
                </c:pt>
                <c:pt idx="401">
                  <c:v>39.9</c:v>
                </c:pt>
                <c:pt idx="402">
                  <c:v>40</c:v>
                </c:pt>
                <c:pt idx="403">
                  <c:v>40.1</c:v>
                </c:pt>
                <c:pt idx="404">
                  <c:v>40.2</c:v>
                </c:pt>
                <c:pt idx="405">
                  <c:v>40.3</c:v>
                </c:pt>
                <c:pt idx="406">
                  <c:v>40.4</c:v>
                </c:pt>
                <c:pt idx="407">
                  <c:v>40.5</c:v>
                </c:pt>
                <c:pt idx="408">
                  <c:v>40.6</c:v>
                </c:pt>
                <c:pt idx="409">
                  <c:v>40.7</c:v>
                </c:pt>
                <c:pt idx="410">
                  <c:v>40.8</c:v>
                </c:pt>
                <c:pt idx="411">
                  <c:v>40.9</c:v>
                </c:pt>
                <c:pt idx="412">
                  <c:v>41</c:v>
                </c:pt>
                <c:pt idx="413">
                  <c:v>41.1</c:v>
                </c:pt>
                <c:pt idx="414">
                  <c:v>41.2</c:v>
                </c:pt>
                <c:pt idx="415">
                  <c:v>41.3</c:v>
                </c:pt>
                <c:pt idx="416">
                  <c:v>41.4</c:v>
                </c:pt>
                <c:pt idx="417">
                  <c:v>41.5</c:v>
                </c:pt>
                <c:pt idx="418">
                  <c:v>41.6</c:v>
                </c:pt>
                <c:pt idx="419">
                  <c:v>41.7</c:v>
                </c:pt>
                <c:pt idx="420">
                  <c:v>41.8</c:v>
                </c:pt>
                <c:pt idx="421">
                  <c:v>41.9</c:v>
                </c:pt>
                <c:pt idx="422">
                  <c:v>42</c:v>
                </c:pt>
                <c:pt idx="423">
                  <c:v>42.1</c:v>
                </c:pt>
                <c:pt idx="424">
                  <c:v>42.2</c:v>
                </c:pt>
                <c:pt idx="425">
                  <c:v>42.3</c:v>
                </c:pt>
                <c:pt idx="426">
                  <c:v>42.4</c:v>
                </c:pt>
                <c:pt idx="427">
                  <c:v>42.5</c:v>
                </c:pt>
                <c:pt idx="428">
                  <c:v>42.6</c:v>
                </c:pt>
                <c:pt idx="429">
                  <c:v>42.7</c:v>
                </c:pt>
                <c:pt idx="430">
                  <c:v>42.8</c:v>
                </c:pt>
                <c:pt idx="431">
                  <c:v>42.9</c:v>
                </c:pt>
                <c:pt idx="432">
                  <c:v>43</c:v>
                </c:pt>
                <c:pt idx="433">
                  <c:v>43.1</c:v>
                </c:pt>
                <c:pt idx="434">
                  <c:v>43.2</c:v>
                </c:pt>
                <c:pt idx="435">
                  <c:v>43.3</c:v>
                </c:pt>
                <c:pt idx="436">
                  <c:v>43.4</c:v>
                </c:pt>
                <c:pt idx="437">
                  <c:v>43.5</c:v>
                </c:pt>
                <c:pt idx="438">
                  <c:v>43.6</c:v>
                </c:pt>
                <c:pt idx="439">
                  <c:v>43.7</c:v>
                </c:pt>
                <c:pt idx="440">
                  <c:v>43.8</c:v>
                </c:pt>
                <c:pt idx="441">
                  <c:v>43.9</c:v>
                </c:pt>
                <c:pt idx="442">
                  <c:v>44</c:v>
                </c:pt>
                <c:pt idx="443">
                  <c:v>44.1</c:v>
                </c:pt>
                <c:pt idx="444">
                  <c:v>44.2</c:v>
                </c:pt>
                <c:pt idx="445">
                  <c:v>44.3</c:v>
                </c:pt>
                <c:pt idx="446">
                  <c:v>44.4</c:v>
                </c:pt>
                <c:pt idx="447">
                  <c:v>44.5</c:v>
                </c:pt>
                <c:pt idx="448">
                  <c:v>44.6</c:v>
                </c:pt>
                <c:pt idx="449">
                  <c:v>44.7</c:v>
                </c:pt>
                <c:pt idx="450">
                  <c:v>44.8</c:v>
                </c:pt>
                <c:pt idx="451">
                  <c:v>44.9</c:v>
                </c:pt>
                <c:pt idx="452">
                  <c:v>45</c:v>
                </c:pt>
                <c:pt idx="453">
                  <c:v>45.1</c:v>
                </c:pt>
                <c:pt idx="454">
                  <c:v>45.2</c:v>
                </c:pt>
                <c:pt idx="455">
                  <c:v>45.3</c:v>
                </c:pt>
                <c:pt idx="456">
                  <c:v>45.4</c:v>
                </c:pt>
                <c:pt idx="457">
                  <c:v>45.5</c:v>
                </c:pt>
                <c:pt idx="458">
                  <c:v>45.6</c:v>
                </c:pt>
                <c:pt idx="459">
                  <c:v>45.7</c:v>
                </c:pt>
                <c:pt idx="460">
                  <c:v>45.8</c:v>
                </c:pt>
                <c:pt idx="461">
                  <c:v>45.9</c:v>
                </c:pt>
                <c:pt idx="462">
                  <c:v>46</c:v>
                </c:pt>
                <c:pt idx="463">
                  <c:v>46.1</c:v>
                </c:pt>
                <c:pt idx="464">
                  <c:v>46.2</c:v>
                </c:pt>
                <c:pt idx="465">
                  <c:v>46.3</c:v>
                </c:pt>
                <c:pt idx="466">
                  <c:v>46.4</c:v>
                </c:pt>
                <c:pt idx="467">
                  <c:v>46.5</c:v>
                </c:pt>
                <c:pt idx="468">
                  <c:v>46.6</c:v>
                </c:pt>
                <c:pt idx="469">
                  <c:v>46.7</c:v>
                </c:pt>
                <c:pt idx="470">
                  <c:v>46.8</c:v>
                </c:pt>
                <c:pt idx="471">
                  <c:v>46.9</c:v>
                </c:pt>
                <c:pt idx="472">
                  <c:v>47</c:v>
                </c:pt>
                <c:pt idx="473">
                  <c:v>47.1</c:v>
                </c:pt>
                <c:pt idx="474">
                  <c:v>47.2</c:v>
                </c:pt>
                <c:pt idx="475">
                  <c:v>47.3</c:v>
                </c:pt>
                <c:pt idx="476">
                  <c:v>47.4</c:v>
                </c:pt>
                <c:pt idx="477">
                  <c:v>47.5</c:v>
                </c:pt>
                <c:pt idx="478">
                  <c:v>47.6</c:v>
                </c:pt>
                <c:pt idx="479">
                  <c:v>47.7</c:v>
                </c:pt>
                <c:pt idx="480">
                  <c:v>47.8</c:v>
                </c:pt>
                <c:pt idx="481">
                  <c:v>47.9</c:v>
                </c:pt>
                <c:pt idx="482">
                  <c:v>48</c:v>
                </c:pt>
                <c:pt idx="483">
                  <c:v>48.1</c:v>
                </c:pt>
                <c:pt idx="484">
                  <c:v>48.2</c:v>
                </c:pt>
                <c:pt idx="485">
                  <c:v>48.3</c:v>
                </c:pt>
                <c:pt idx="486">
                  <c:v>48.4</c:v>
                </c:pt>
                <c:pt idx="487">
                  <c:v>48.5</c:v>
                </c:pt>
                <c:pt idx="488">
                  <c:v>48.6</c:v>
                </c:pt>
                <c:pt idx="489">
                  <c:v>48.7</c:v>
                </c:pt>
                <c:pt idx="490">
                  <c:v>48.8</c:v>
                </c:pt>
                <c:pt idx="491">
                  <c:v>48.9</c:v>
                </c:pt>
                <c:pt idx="492">
                  <c:v>49</c:v>
                </c:pt>
                <c:pt idx="493">
                  <c:v>49.1</c:v>
                </c:pt>
                <c:pt idx="494">
                  <c:v>49.2</c:v>
                </c:pt>
                <c:pt idx="495">
                  <c:v>49.3</c:v>
                </c:pt>
                <c:pt idx="496">
                  <c:v>49.4</c:v>
                </c:pt>
                <c:pt idx="497">
                  <c:v>49.5</c:v>
                </c:pt>
                <c:pt idx="498">
                  <c:v>49.6</c:v>
                </c:pt>
                <c:pt idx="499">
                  <c:v>49.7</c:v>
                </c:pt>
                <c:pt idx="500">
                  <c:v>49.8</c:v>
                </c:pt>
                <c:pt idx="501">
                  <c:v>49.9</c:v>
                </c:pt>
                <c:pt idx="502">
                  <c:v>50</c:v>
                </c:pt>
                <c:pt idx="503">
                  <c:v>50.1</c:v>
                </c:pt>
                <c:pt idx="504">
                  <c:v>50.2</c:v>
                </c:pt>
                <c:pt idx="505">
                  <c:v>50.3</c:v>
                </c:pt>
                <c:pt idx="506">
                  <c:v>50.4</c:v>
                </c:pt>
                <c:pt idx="507">
                  <c:v>50.5</c:v>
                </c:pt>
                <c:pt idx="508">
                  <c:v>50.6</c:v>
                </c:pt>
                <c:pt idx="509">
                  <c:v>50.7</c:v>
                </c:pt>
                <c:pt idx="510">
                  <c:v>50.8</c:v>
                </c:pt>
                <c:pt idx="511">
                  <c:v>50.9</c:v>
                </c:pt>
                <c:pt idx="512">
                  <c:v>51</c:v>
                </c:pt>
                <c:pt idx="513">
                  <c:v>51.1</c:v>
                </c:pt>
                <c:pt idx="514">
                  <c:v>51.2</c:v>
                </c:pt>
                <c:pt idx="515">
                  <c:v>51.3</c:v>
                </c:pt>
                <c:pt idx="516">
                  <c:v>51.4</c:v>
                </c:pt>
                <c:pt idx="517">
                  <c:v>51.5</c:v>
                </c:pt>
                <c:pt idx="518">
                  <c:v>51.6</c:v>
                </c:pt>
                <c:pt idx="519">
                  <c:v>51.7</c:v>
                </c:pt>
                <c:pt idx="520">
                  <c:v>51.8</c:v>
                </c:pt>
                <c:pt idx="521">
                  <c:v>51.9</c:v>
                </c:pt>
                <c:pt idx="522">
                  <c:v>52</c:v>
                </c:pt>
                <c:pt idx="523">
                  <c:v>52.1</c:v>
                </c:pt>
                <c:pt idx="524">
                  <c:v>52.2</c:v>
                </c:pt>
                <c:pt idx="525">
                  <c:v>52.3</c:v>
                </c:pt>
                <c:pt idx="526">
                  <c:v>52.4</c:v>
                </c:pt>
                <c:pt idx="527">
                  <c:v>52.5</c:v>
                </c:pt>
                <c:pt idx="528">
                  <c:v>52.6</c:v>
                </c:pt>
                <c:pt idx="529">
                  <c:v>52.7</c:v>
                </c:pt>
                <c:pt idx="530">
                  <c:v>52.8</c:v>
                </c:pt>
                <c:pt idx="531">
                  <c:v>52.9</c:v>
                </c:pt>
                <c:pt idx="532">
                  <c:v>53</c:v>
                </c:pt>
                <c:pt idx="533">
                  <c:v>53.1</c:v>
                </c:pt>
                <c:pt idx="534">
                  <c:v>53.2</c:v>
                </c:pt>
                <c:pt idx="535">
                  <c:v>53.3</c:v>
                </c:pt>
                <c:pt idx="536">
                  <c:v>53.4</c:v>
                </c:pt>
                <c:pt idx="537">
                  <c:v>53.5</c:v>
                </c:pt>
                <c:pt idx="538">
                  <c:v>53.6</c:v>
                </c:pt>
                <c:pt idx="539">
                  <c:v>53.7</c:v>
                </c:pt>
                <c:pt idx="540">
                  <c:v>53.8</c:v>
                </c:pt>
                <c:pt idx="541">
                  <c:v>53.9</c:v>
                </c:pt>
                <c:pt idx="542">
                  <c:v>54</c:v>
                </c:pt>
                <c:pt idx="543">
                  <c:v>54.1</c:v>
                </c:pt>
                <c:pt idx="544">
                  <c:v>54.2</c:v>
                </c:pt>
                <c:pt idx="545">
                  <c:v>54.3</c:v>
                </c:pt>
                <c:pt idx="546">
                  <c:v>54.4</c:v>
                </c:pt>
                <c:pt idx="547">
                  <c:v>54.5</c:v>
                </c:pt>
                <c:pt idx="548">
                  <c:v>54.6</c:v>
                </c:pt>
                <c:pt idx="549">
                  <c:v>54.7</c:v>
                </c:pt>
                <c:pt idx="550">
                  <c:v>54.8</c:v>
                </c:pt>
                <c:pt idx="551">
                  <c:v>54.9</c:v>
                </c:pt>
                <c:pt idx="552">
                  <c:v>55</c:v>
                </c:pt>
                <c:pt idx="553">
                  <c:v>55.1</c:v>
                </c:pt>
                <c:pt idx="554">
                  <c:v>55.2</c:v>
                </c:pt>
                <c:pt idx="555">
                  <c:v>55.3</c:v>
                </c:pt>
                <c:pt idx="556">
                  <c:v>55.4</c:v>
                </c:pt>
                <c:pt idx="557">
                  <c:v>55.5</c:v>
                </c:pt>
                <c:pt idx="558">
                  <c:v>55.6</c:v>
                </c:pt>
                <c:pt idx="559">
                  <c:v>55.7</c:v>
                </c:pt>
                <c:pt idx="560">
                  <c:v>55.8</c:v>
                </c:pt>
                <c:pt idx="561">
                  <c:v>55.9</c:v>
                </c:pt>
                <c:pt idx="562">
                  <c:v>56</c:v>
                </c:pt>
                <c:pt idx="563">
                  <c:v>56.1</c:v>
                </c:pt>
                <c:pt idx="564">
                  <c:v>56.2</c:v>
                </c:pt>
                <c:pt idx="565">
                  <c:v>56.3</c:v>
                </c:pt>
                <c:pt idx="566">
                  <c:v>56.4</c:v>
                </c:pt>
                <c:pt idx="567">
                  <c:v>56.5</c:v>
                </c:pt>
                <c:pt idx="568">
                  <c:v>56.6</c:v>
                </c:pt>
                <c:pt idx="569">
                  <c:v>56.7</c:v>
                </c:pt>
                <c:pt idx="570">
                  <c:v>56.8</c:v>
                </c:pt>
                <c:pt idx="571">
                  <c:v>56.9</c:v>
                </c:pt>
                <c:pt idx="572">
                  <c:v>57</c:v>
                </c:pt>
                <c:pt idx="573">
                  <c:v>57.1</c:v>
                </c:pt>
                <c:pt idx="574">
                  <c:v>57.2</c:v>
                </c:pt>
                <c:pt idx="575">
                  <c:v>57.3</c:v>
                </c:pt>
                <c:pt idx="576">
                  <c:v>57.4</c:v>
                </c:pt>
                <c:pt idx="577">
                  <c:v>57.5</c:v>
                </c:pt>
                <c:pt idx="578">
                  <c:v>57.6</c:v>
                </c:pt>
                <c:pt idx="579">
                  <c:v>57.7</c:v>
                </c:pt>
                <c:pt idx="580">
                  <c:v>57.8</c:v>
                </c:pt>
                <c:pt idx="581">
                  <c:v>57.9</c:v>
                </c:pt>
                <c:pt idx="582">
                  <c:v>58</c:v>
                </c:pt>
                <c:pt idx="583">
                  <c:v>58.1</c:v>
                </c:pt>
                <c:pt idx="584">
                  <c:v>58.2</c:v>
                </c:pt>
                <c:pt idx="585">
                  <c:v>58.3</c:v>
                </c:pt>
                <c:pt idx="586">
                  <c:v>58.4</c:v>
                </c:pt>
                <c:pt idx="587">
                  <c:v>58.5</c:v>
                </c:pt>
                <c:pt idx="588">
                  <c:v>58.6</c:v>
                </c:pt>
                <c:pt idx="589">
                  <c:v>58.7</c:v>
                </c:pt>
                <c:pt idx="590">
                  <c:v>58.8</c:v>
                </c:pt>
                <c:pt idx="591">
                  <c:v>58.9</c:v>
                </c:pt>
                <c:pt idx="592">
                  <c:v>59</c:v>
                </c:pt>
                <c:pt idx="593">
                  <c:v>59.1</c:v>
                </c:pt>
                <c:pt idx="594">
                  <c:v>59.2</c:v>
                </c:pt>
                <c:pt idx="595">
                  <c:v>59.3</c:v>
                </c:pt>
                <c:pt idx="596">
                  <c:v>59.4</c:v>
                </c:pt>
                <c:pt idx="597">
                  <c:v>59.5</c:v>
                </c:pt>
                <c:pt idx="598">
                  <c:v>59.6</c:v>
                </c:pt>
                <c:pt idx="599">
                  <c:v>59.7</c:v>
                </c:pt>
                <c:pt idx="600">
                  <c:v>59.8</c:v>
                </c:pt>
                <c:pt idx="601">
                  <c:v>59.9</c:v>
                </c:pt>
                <c:pt idx="602">
                  <c:v>60</c:v>
                </c:pt>
                <c:pt idx="603">
                  <c:v>60.1</c:v>
                </c:pt>
                <c:pt idx="604">
                  <c:v>60.2</c:v>
                </c:pt>
                <c:pt idx="605">
                  <c:v>60.3</c:v>
                </c:pt>
                <c:pt idx="606">
                  <c:v>60.4</c:v>
                </c:pt>
                <c:pt idx="607">
                  <c:v>60.5</c:v>
                </c:pt>
                <c:pt idx="608">
                  <c:v>60.6</c:v>
                </c:pt>
                <c:pt idx="609">
                  <c:v>60.7</c:v>
                </c:pt>
                <c:pt idx="610">
                  <c:v>60.8</c:v>
                </c:pt>
                <c:pt idx="611">
                  <c:v>60.9</c:v>
                </c:pt>
                <c:pt idx="612">
                  <c:v>61</c:v>
                </c:pt>
                <c:pt idx="613">
                  <c:v>61.1</c:v>
                </c:pt>
                <c:pt idx="614">
                  <c:v>61.2</c:v>
                </c:pt>
                <c:pt idx="615">
                  <c:v>61.3</c:v>
                </c:pt>
                <c:pt idx="616">
                  <c:v>61.4</c:v>
                </c:pt>
                <c:pt idx="617">
                  <c:v>61.5</c:v>
                </c:pt>
                <c:pt idx="618">
                  <c:v>61.6</c:v>
                </c:pt>
                <c:pt idx="619">
                  <c:v>61.7</c:v>
                </c:pt>
                <c:pt idx="620">
                  <c:v>61.8</c:v>
                </c:pt>
                <c:pt idx="621">
                  <c:v>61.9</c:v>
                </c:pt>
                <c:pt idx="622">
                  <c:v>62</c:v>
                </c:pt>
                <c:pt idx="623">
                  <c:v>62.1</c:v>
                </c:pt>
                <c:pt idx="624">
                  <c:v>62.2</c:v>
                </c:pt>
                <c:pt idx="625">
                  <c:v>62.3</c:v>
                </c:pt>
                <c:pt idx="626">
                  <c:v>62.4</c:v>
                </c:pt>
                <c:pt idx="627">
                  <c:v>62.5</c:v>
                </c:pt>
                <c:pt idx="628">
                  <c:v>62.6</c:v>
                </c:pt>
                <c:pt idx="629">
                  <c:v>62.7</c:v>
                </c:pt>
                <c:pt idx="630">
                  <c:v>62.8</c:v>
                </c:pt>
                <c:pt idx="631">
                  <c:v>62.9</c:v>
                </c:pt>
                <c:pt idx="632">
                  <c:v>63</c:v>
                </c:pt>
                <c:pt idx="633">
                  <c:v>63.1</c:v>
                </c:pt>
                <c:pt idx="634">
                  <c:v>63.2</c:v>
                </c:pt>
                <c:pt idx="635">
                  <c:v>63.3</c:v>
                </c:pt>
                <c:pt idx="636">
                  <c:v>63.4</c:v>
                </c:pt>
                <c:pt idx="637">
                  <c:v>63.5</c:v>
                </c:pt>
                <c:pt idx="638">
                  <c:v>63.6</c:v>
                </c:pt>
                <c:pt idx="639">
                  <c:v>63.7</c:v>
                </c:pt>
                <c:pt idx="640">
                  <c:v>63.8</c:v>
                </c:pt>
                <c:pt idx="641">
                  <c:v>63.9</c:v>
                </c:pt>
                <c:pt idx="642">
                  <c:v>64</c:v>
                </c:pt>
                <c:pt idx="643">
                  <c:v>64.1</c:v>
                </c:pt>
                <c:pt idx="644">
                  <c:v>64.2</c:v>
                </c:pt>
                <c:pt idx="645">
                  <c:v>64.3</c:v>
                </c:pt>
                <c:pt idx="646">
                  <c:v>64.4</c:v>
                </c:pt>
                <c:pt idx="647">
                  <c:v>64.5</c:v>
                </c:pt>
                <c:pt idx="648">
                  <c:v>64.6</c:v>
                </c:pt>
                <c:pt idx="649">
                  <c:v>64.7</c:v>
                </c:pt>
                <c:pt idx="650">
                  <c:v>64.8</c:v>
                </c:pt>
                <c:pt idx="651">
                  <c:v>64.9</c:v>
                </c:pt>
                <c:pt idx="652">
                  <c:v>65</c:v>
                </c:pt>
                <c:pt idx="653">
                  <c:v>65.1</c:v>
                </c:pt>
                <c:pt idx="654">
                  <c:v>65.2</c:v>
                </c:pt>
                <c:pt idx="655">
                  <c:v>65.3</c:v>
                </c:pt>
                <c:pt idx="656">
                  <c:v>65.4</c:v>
                </c:pt>
                <c:pt idx="657">
                  <c:v>65.5</c:v>
                </c:pt>
                <c:pt idx="658">
                  <c:v>65.6</c:v>
                </c:pt>
                <c:pt idx="659">
                  <c:v>65.7</c:v>
                </c:pt>
                <c:pt idx="660">
                  <c:v>65.8</c:v>
                </c:pt>
                <c:pt idx="661">
                  <c:v>65.9</c:v>
                </c:pt>
                <c:pt idx="662">
                  <c:v>66</c:v>
                </c:pt>
                <c:pt idx="663">
                  <c:v>66.1</c:v>
                </c:pt>
                <c:pt idx="664">
                  <c:v>66.2</c:v>
                </c:pt>
                <c:pt idx="665">
                  <c:v>66.3</c:v>
                </c:pt>
                <c:pt idx="666">
                  <c:v>66.4</c:v>
                </c:pt>
                <c:pt idx="667">
                  <c:v>66.5</c:v>
                </c:pt>
                <c:pt idx="668">
                  <c:v>66.6</c:v>
                </c:pt>
                <c:pt idx="669">
                  <c:v>66.7</c:v>
                </c:pt>
                <c:pt idx="670">
                  <c:v>66.8</c:v>
                </c:pt>
                <c:pt idx="671">
                  <c:v>66.9</c:v>
                </c:pt>
                <c:pt idx="672">
                  <c:v>67</c:v>
                </c:pt>
                <c:pt idx="673">
                  <c:v>67.1</c:v>
                </c:pt>
                <c:pt idx="674">
                  <c:v>67.2</c:v>
                </c:pt>
                <c:pt idx="675">
                  <c:v>67.3</c:v>
                </c:pt>
                <c:pt idx="676">
                  <c:v>67.4</c:v>
                </c:pt>
                <c:pt idx="677">
                  <c:v>67.5</c:v>
                </c:pt>
                <c:pt idx="678">
                  <c:v>67.6</c:v>
                </c:pt>
                <c:pt idx="679">
                  <c:v>67.7</c:v>
                </c:pt>
                <c:pt idx="680">
                  <c:v>67.8</c:v>
                </c:pt>
                <c:pt idx="681">
                  <c:v>67.9</c:v>
                </c:pt>
                <c:pt idx="682">
                  <c:v>68</c:v>
                </c:pt>
                <c:pt idx="683">
                  <c:v>68.1</c:v>
                </c:pt>
                <c:pt idx="684">
                  <c:v>68.2</c:v>
                </c:pt>
                <c:pt idx="685">
                  <c:v>68.3</c:v>
                </c:pt>
                <c:pt idx="686">
                  <c:v>68.4</c:v>
                </c:pt>
                <c:pt idx="687">
                  <c:v>68.5</c:v>
                </c:pt>
                <c:pt idx="688">
                  <c:v>68.6</c:v>
                </c:pt>
                <c:pt idx="689">
                  <c:v>68.7</c:v>
                </c:pt>
                <c:pt idx="690">
                  <c:v>68.8</c:v>
                </c:pt>
                <c:pt idx="691">
                  <c:v>68.9</c:v>
                </c:pt>
                <c:pt idx="692">
                  <c:v>69</c:v>
                </c:pt>
                <c:pt idx="693">
                  <c:v>69.1</c:v>
                </c:pt>
                <c:pt idx="694">
                  <c:v>69.2</c:v>
                </c:pt>
                <c:pt idx="695">
                  <c:v>69.3</c:v>
                </c:pt>
                <c:pt idx="696">
                  <c:v>69.4</c:v>
                </c:pt>
                <c:pt idx="697">
                  <c:v>69.5</c:v>
                </c:pt>
                <c:pt idx="698">
                  <c:v>69.6</c:v>
                </c:pt>
                <c:pt idx="699">
                  <c:v>69.7</c:v>
                </c:pt>
                <c:pt idx="700">
                  <c:v>69.8</c:v>
                </c:pt>
                <c:pt idx="701">
                  <c:v>69.9</c:v>
                </c:pt>
                <c:pt idx="702">
                  <c:v>70</c:v>
                </c:pt>
                <c:pt idx="703">
                  <c:v>70.1</c:v>
                </c:pt>
                <c:pt idx="704">
                  <c:v>70.2</c:v>
                </c:pt>
                <c:pt idx="705">
                  <c:v>70.3</c:v>
                </c:pt>
                <c:pt idx="706">
                  <c:v>70.4</c:v>
                </c:pt>
                <c:pt idx="707">
                  <c:v>70.5</c:v>
                </c:pt>
                <c:pt idx="708">
                  <c:v>70.6</c:v>
                </c:pt>
                <c:pt idx="709">
                  <c:v>70.7</c:v>
                </c:pt>
                <c:pt idx="710">
                  <c:v>70.8</c:v>
                </c:pt>
                <c:pt idx="711">
                  <c:v>70.9</c:v>
                </c:pt>
                <c:pt idx="712">
                  <c:v>71</c:v>
                </c:pt>
                <c:pt idx="713">
                  <c:v>71.1</c:v>
                </c:pt>
                <c:pt idx="714">
                  <c:v>71.2</c:v>
                </c:pt>
                <c:pt idx="715">
                  <c:v>71.3</c:v>
                </c:pt>
                <c:pt idx="716">
                  <c:v>71.4</c:v>
                </c:pt>
                <c:pt idx="717">
                  <c:v>71.5</c:v>
                </c:pt>
                <c:pt idx="718">
                  <c:v>71.6</c:v>
                </c:pt>
                <c:pt idx="719">
                  <c:v>71.7</c:v>
                </c:pt>
                <c:pt idx="720">
                  <c:v>71.8</c:v>
                </c:pt>
                <c:pt idx="721">
                  <c:v>71.9</c:v>
                </c:pt>
                <c:pt idx="722">
                  <c:v>72</c:v>
                </c:pt>
                <c:pt idx="723">
                  <c:v>72.1</c:v>
                </c:pt>
                <c:pt idx="724">
                  <c:v>72.2</c:v>
                </c:pt>
                <c:pt idx="725">
                  <c:v>72.3</c:v>
                </c:pt>
                <c:pt idx="726">
                  <c:v>72.4</c:v>
                </c:pt>
                <c:pt idx="727">
                  <c:v>72.5</c:v>
                </c:pt>
                <c:pt idx="728">
                  <c:v>72.6</c:v>
                </c:pt>
                <c:pt idx="729">
                  <c:v>72.7</c:v>
                </c:pt>
                <c:pt idx="730">
                  <c:v>72.8</c:v>
                </c:pt>
                <c:pt idx="731">
                  <c:v>72.9</c:v>
                </c:pt>
                <c:pt idx="732">
                  <c:v>73</c:v>
                </c:pt>
                <c:pt idx="733">
                  <c:v>73.1</c:v>
                </c:pt>
                <c:pt idx="734">
                  <c:v>73.2</c:v>
                </c:pt>
                <c:pt idx="735">
                  <c:v>73.3</c:v>
                </c:pt>
                <c:pt idx="736">
                  <c:v>73.4</c:v>
                </c:pt>
                <c:pt idx="737">
                  <c:v>73.5</c:v>
                </c:pt>
                <c:pt idx="738">
                  <c:v>73.6</c:v>
                </c:pt>
                <c:pt idx="739">
                  <c:v>73.7</c:v>
                </c:pt>
                <c:pt idx="740">
                  <c:v>73.8</c:v>
                </c:pt>
                <c:pt idx="741">
                  <c:v>73.9</c:v>
                </c:pt>
                <c:pt idx="742">
                  <c:v>74</c:v>
                </c:pt>
                <c:pt idx="743">
                  <c:v>74.1</c:v>
                </c:pt>
                <c:pt idx="744">
                  <c:v>74.2</c:v>
                </c:pt>
                <c:pt idx="745">
                  <c:v>74.3</c:v>
                </c:pt>
                <c:pt idx="746">
                  <c:v>74.4</c:v>
                </c:pt>
                <c:pt idx="747">
                  <c:v>74.5</c:v>
                </c:pt>
                <c:pt idx="748">
                  <c:v>74.6</c:v>
                </c:pt>
                <c:pt idx="749">
                  <c:v>74.7</c:v>
                </c:pt>
                <c:pt idx="750">
                  <c:v>74.8</c:v>
                </c:pt>
                <c:pt idx="751">
                  <c:v>74.9</c:v>
                </c:pt>
                <c:pt idx="752">
                  <c:v>75</c:v>
                </c:pt>
                <c:pt idx="753">
                  <c:v>75.1</c:v>
                </c:pt>
                <c:pt idx="754">
                  <c:v>75.2</c:v>
                </c:pt>
                <c:pt idx="755">
                  <c:v>75.3</c:v>
                </c:pt>
                <c:pt idx="756">
                  <c:v>75.4</c:v>
                </c:pt>
                <c:pt idx="757">
                  <c:v>75.5</c:v>
                </c:pt>
                <c:pt idx="758">
                  <c:v>75.6</c:v>
                </c:pt>
                <c:pt idx="759">
                  <c:v>75.7</c:v>
                </c:pt>
                <c:pt idx="760">
                  <c:v>75.8</c:v>
                </c:pt>
                <c:pt idx="761">
                  <c:v>75.9</c:v>
                </c:pt>
                <c:pt idx="762">
                  <c:v>76</c:v>
                </c:pt>
                <c:pt idx="763">
                  <c:v>76.1</c:v>
                </c:pt>
                <c:pt idx="764">
                  <c:v>76.2</c:v>
                </c:pt>
                <c:pt idx="765">
                  <c:v>76.3</c:v>
                </c:pt>
                <c:pt idx="766">
                  <c:v>76.4</c:v>
                </c:pt>
                <c:pt idx="767">
                  <c:v>76.5</c:v>
                </c:pt>
                <c:pt idx="768">
                  <c:v>76.6</c:v>
                </c:pt>
                <c:pt idx="769">
                  <c:v>76.7</c:v>
                </c:pt>
                <c:pt idx="770">
                  <c:v>76.8</c:v>
                </c:pt>
                <c:pt idx="771">
                  <c:v>76.9</c:v>
                </c:pt>
                <c:pt idx="772">
                  <c:v>77</c:v>
                </c:pt>
                <c:pt idx="773">
                  <c:v>77.1</c:v>
                </c:pt>
                <c:pt idx="774">
                  <c:v>77.2</c:v>
                </c:pt>
                <c:pt idx="775">
                  <c:v>77.3</c:v>
                </c:pt>
                <c:pt idx="776">
                  <c:v>77.4</c:v>
                </c:pt>
                <c:pt idx="777">
                  <c:v>77.5</c:v>
                </c:pt>
                <c:pt idx="778">
                  <c:v>77.6</c:v>
                </c:pt>
                <c:pt idx="779">
                  <c:v>77.7</c:v>
                </c:pt>
                <c:pt idx="780">
                  <c:v>77.8</c:v>
                </c:pt>
                <c:pt idx="781">
                  <c:v>77.9</c:v>
                </c:pt>
                <c:pt idx="782">
                  <c:v>78</c:v>
                </c:pt>
                <c:pt idx="783">
                  <c:v>78.1</c:v>
                </c:pt>
                <c:pt idx="784">
                  <c:v>78.2</c:v>
                </c:pt>
                <c:pt idx="785">
                  <c:v>78.3</c:v>
                </c:pt>
                <c:pt idx="786">
                  <c:v>78.4</c:v>
                </c:pt>
                <c:pt idx="787">
                  <c:v>78.5</c:v>
                </c:pt>
                <c:pt idx="788">
                  <c:v>78.6</c:v>
                </c:pt>
                <c:pt idx="789">
                  <c:v>78.7</c:v>
                </c:pt>
                <c:pt idx="790">
                  <c:v>78.8</c:v>
                </c:pt>
                <c:pt idx="791">
                  <c:v>78.9</c:v>
                </c:pt>
                <c:pt idx="792">
                  <c:v>79</c:v>
                </c:pt>
                <c:pt idx="793">
                  <c:v>79.1</c:v>
                </c:pt>
                <c:pt idx="794">
                  <c:v>79.2</c:v>
                </c:pt>
                <c:pt idx="795">
                  <c:v>79.3</c:v>
                </c:pt>
                <c:pt idx="796">
                  <c:v>79.4</c:v>
                </c:pt>
                <c:pt idx="797">
                  <c:v>79.5</c:v>
                </c:pt>
                <c:pt idx="798">
                  <c:v>79.6</c:v>
                </c:pt>
                <c:pt idx="799">
                  <c:v>79.7</c:v>
                </c:pt>
                <c:pt idx="800">
                  <c:v>79.8</c:v>
                </c:pt>
                <c:pt idx="801">
                  <c:v>79.9</c:v>
                </c:pt>
                <c:pt idx="802">
                  <c:v>80</c:v>
                </c:pt>
                <c:pt idx="803">
                  <c:v>80.1</c:v>
                </c:pt>
                <c:pt idx="804">
                  <c:v>80.2</c:v>
                </c:pt>
                <c:pt idx="805">
                  <c:v>80.3</c:v>
                </c:pt>
                <c:pt idx="806">
                  <c:v>80.4</c:v>
                </c:pt>
                <c:pt idx="807">
                  <c:v>80.5</c:v>
                </c:pt>
                <c:pt idx="808">
                  <c:v>80.6</c:v>
                </c:pt>
                <c:pt idx="809">
                  <c:v>80.7</c:v>
                </c:pt>
                <c:pt idx="810">
                  <c:v>80.8</c:v>
                </c:pt>
                <c:pt idx="811">
                  <c:v>80.9</c:v>
                </c:pt>
                <c:pt idx="812">
                  <c:v>81</c:v>
                </c:pt>
                <c:pt idx="813">
                  <c:v>81.1</c:v>
                </c:pt>
                <c:pt idx="814">
                  <c:v>81.2</c:v>
                </c:pt>
                <c:pt idx="815">
                  <c:v>81.3</c:v>
                </c:pt>
                <c:pt idx="816">
                  <c:v>81.4</c:v>
                </c:pt>
                <c:pt idx="817">
                  <c:v>81.5</c:v>
                </c:pt>
                <c:pt idx="818">
                  <c:v>81.6</c:v>
                </c:pt>
                <c:pt idx="819">
                  <c:v>81.7</c:v>
                </c:pt>
                <c:pt idx="820">
                  <c:v>81.8</c:v>
                </c:pt>
                <c:pt idx="821">
                  <c:v>81.9</c:v>
                </c:pt>
                <c:pt idx="822">
                  <c:v>82</c:v>
                </c:pt>
                <c:pt idx="823">
                  <c:v>82.1</c:v>
                </c:pt>
                <c:pt idx="824">
                  <c:v>82.2</c:v>
                </c:pt>
                <c:pt idx="825">
                  <c:v>82.3</c:v>
                </c:pt>
                <c:pt idx="826">
                  <c:v>82.4</c:v>
                </c:pt>
                <c:pt idx="827">
                  <c:v>82.5</c:v>
                </c:pt>
                <c:pt idx="828">
                  <c:v>82.6</c:v>
                </c:pt>
                <c:pt idx="829">
                  <c:v>82.7</c:v>
                </c:pt>
                <c:pt idx="830">
                  <c:v>82.8</c:v>
                </c:pt>
                <c:pt idx="831">
                  <c:v>82.9</c:v>
                </c:pt>
                <c:pt idx="832">
                  <c:v>83</c:v>
                </c:pt>
                <c:pt idx="833">
                  <c:v>83.1</c:v>
                </c:pt>
                <c:pt idx="834">
                  <c:v>83.2</c:v>
                </c:pt>
                <c:pt idx="835">
                  <c:v>83.3</c:v>
                </c:pt>
                <c:pt idx="836">
                  <c:v>83.4</c:v>
                </c:pt>
                <c:pt idx="837">
                  <c:v>83.5</c:v>
                </c:pt>
                <c:pt idx="838">
                  <c:v>83.6</c:v>
                </c:pt>
                <c:pt idx="839">
                  <c:v>83.7</c:v>
                </c:pt>
                <c:pt idx="840">
                  <c:v>83.8</c:v>
                </c:pt>
                <c:pt idx="841">
                  <c:v>83.9</c:v>
                </c:pt>
                <c:pt idx="842">
                  <c:v>84</c:v>
                </c:pt>
                <c:pt idx="843">
                  <c:v>84.1</c:v>
                </c:pt>
                <c:pt idx="844">
                  <c:v>84.2</c:v>
                </c:pt>
                <c:pt idx="845">
                  <c:v>84.3</c:v>
                </c:pt>
                <c:pt idx="846">
                  <c:v>84.4</c:v>
                </c:pt>
                <c:pt idx="847">
                  <c:v>84.5</c:v>
                </c:pt>
                <c:pt idx="848">
                  <c:v>84.6</c:v>
                </c:pt>
                <c:pt idx="849">
                  <c:v>84.7</c:v>
                </c:pt>
                <c:pt idx="850">
                  <c:v>84.8</c:v>
                </c:pt>
                <c:pt idx="851">
                  <c:v>84.9</c:v>
                </c:pt>
                <c:pt idx="852">
                  <c:v>85</c:v>
                </c:pt>
                <c:pt idx="853">
                  <c:v>85.1</c:v>
                </c:pt>
                <c:pt idx="854">
                  <c:v>85.2</c:v>
                </c:pt>
                <c:pt idx="855">
                  <c:v>85.3</c:v>
                </c:pt>
                <c:pt idx="856">
                  <c:v>85.4</c:v>
                </c:pt>
                <c:pt idx="857">
                  <c:v>85.5</c:v>
                </c:pt>
                <c:pt idx="858">
                  <c:v>85.6</c:v>
                </c:pt>
                <c:pt idx="859">
                  <c:v>85.7</c:v>
                </c:pt>
                <c:pt idx="860">
                  <c:v>85.8</c:v>
                </c:pt>
                <c:pt idx="861">
                  <c:v>85.9</c:v>
                </c:pt>
                <c:pt idx="862">
                  <c:v>86</c:v>
                </c:pt>
                <c:pt idx="863">
                  <c:v>86.1</c:v>
                </c:pt>
                <c:pt idx="864">
                  <c:v>86.2</c:v>
                </c:pt>
                <c:pt idx="865">
                  <c:v>86.3</c:v>
                </c:pt>
                <c:pt idx="866">
                  <c:v>86.4</c:v>
                </c:pt>
                <c:pt idx="867">
                  <c:v>86.5</c:v>
                </c:pt>
                <c:pt idx="868">
                  <c:v>86.6</c:v>
                </c:pt>
                <c:pt idx="869">
                  <c:v>86.7</c:v>
                </c:pt>
                <c:pt idx="870">
                  <c:v>86.8</c:v>
                </c:pt>
                <c:pt idx="871">
                  <c:v>86.9</c:v>
                </c:pt>
                <c:pt idx="872">
                  <c:v>87</c:v>
                </c:pt>
                <c:pt idx="873">
                  <c:v>87.1</c:v>
                </c:pt>
                <c:pt idx="874">
                  <c:v>87.2</c:v>
                </c:pt>
                <c:pt idx="875">
                  <c:v>87.3</c:v>
                </c:pt>
                <c:pt idx="876">
                  <c:v>87.4</c:v>
                </c:pt>
                <c:pt idx="877">
                  <c:v>87.5</c:v>
                </c:pt>
                <c:pt idx="878">
                  <c:v>87.6</c:v>
                </c:pt>
                <c:pt idx="879">
                  <c:v>87.7</c:v>
                </c:pt>
                <c:pt idx="880">
                  <c:v>87.8</c:v>
                </c:pt>
                <c:pt idx="881">
                  <c:v>87.9</c:v>
                </c:pt>
                <c:pt idx="882">
                  <c:v>88</c:v>
                </c:pt>
                <c:pt idx="883">
                  <c:v>88.1</c:v>
                </c:pt>
                <c:pt idx="884">
                  <c:v>88.2</c:v>
                </c:pt>
                <c:pt idx="885">
                  <c:v>88.3</c:v>
                </c:pt>
                <c:pt idx="886">
                  <c:v>88.4</c:v>
                </c:pt>
                <c:pt idx="887">
                  <c:v>88.5</c:v>
                </c:pt>
                <c:pt idx="888">
                  <c:v>88.6</c:v>
                </c:pt>
                <c:pt idx="889">
                  <c:v>88.7</c:v>
                </c:pt>
                <c:pt idx="890">
                  <c:v>88.8</c:v>
                </c:pt>
                <c:pt idx="891">
                  <c:v>88.9</c:v>
                </c:pt>
                <c:pt idx="892">
                  <c:v>89</c:v>
                </c:pt>
                <c:pt idx="893">
                  <c:v>89.1</c:v>
                </c:pt>
                <c:pt idx="894">
                  <c:v>89.2</c:v>
                </c:pt>
                <c:pt idx="895">
                  <c:v>89.3</c:v>
                </c:pt>
                <c:pt idx="896">
                  <c:v>89.4</c:v>
                </c:pt>
                <c:pt idx="897">
                  <c:v>89.5</c:v>
                </c:pt>
                <c:pt idx="898">
                  <c:v>89.6</c:v>
                </c:pt>
                <c:pt idx="899">
                  <c:v>89.7</c:v>
                </c:pt>
                <c:pt idx="900">
                  <c:v>89.8</c:v>
                </c:pt>
                <c:pt idx="901">
                  <c:v>89.9</c:v>
                </c:pt>
                <c:pt idx="902">
                  <c:v>90</c:v>
                </c:pt>
                <c:pt idx="903">
                  <c:v>90.1</c:v>
                </c:pt>
                <c:pt idx="904">
                  <c:v>90.2</c:v>
                </c:pt>
                <c:pt idx="905">
                  <c:v>90.3</c:v>
                </c:pt>
                <c:pt idx="906">
                  <c:v>90.4</c:v>
                </c:pt>
                <c:pt idx="907">
                  <c:v>90.5</c:v>
                </c:pt>
                <c:pt idx="908">
                  <c:v>90.6</c:v>
                </c:pt>
                <c:pt idx="909">
                  <c:v>90.7</c:v>
                </c:pt>
                <c:pt idx="910">
                  <c:v>90.8</c:v>
                </c:pt>
                <c:pt idx="911">
                  <c:v>90.9</c:v>
                </c:pt>
                <c:pt idx="912">
                  <c:v>91</c:v>
                </c:pt>
                <c:pt idx="913">
                  <c:v>91.1</c:v>
                </c:pt>
                <c:pt idx="914">
                  <c:v>91.2</c:v>
                </c:pt>
                <c:pt idx="915">
                  <c:v>91.3</c:v>
                </c:pt>
                <c:pt idx="916">
                  <c:v>91.4</c:v>
                </c:pt>
                <c:pt idx="917">
                  <c:v>91.5</c:v>
                </c:pt>
                <c:pt idx="918">
                  <c:v>91.6</c:v>
                </c:pt>
                <c:pt idx="919">
                  <c:v>91.7</c:v>
                </c:pt>
                <c:pt idx="920">
                  <c:v>91.8</c:v>
                </c:pt>
                <c:pt idx="921">
                  <c:v>91.9</c:v>
                </c:pt>
                <c:pt idx="922">
                  <c:v>92</c:v>
                </c:pt>
                <c:pt idx="923">
                  <c:v>92.1</c:v>
                </c:pt>
                <c:pt idx="924">
                  <c:v>92.2</c:v>
                </c:pt>
                <c:pt idx="925">
                  <c:v>92.3</c:v>
                </c:pt>
                <c:pt idx="926">
                  <c:v>92.4</c:v>
                </c:pt>
                <c:pt idx="927">
                  <c:v>92.5</c:v>
                </c:pt>
                <c:pt idx="928">
                  <c:v>92.6</c:v>
                </c:pt>
                <c:pt idx="929">
                  <c:v>92.7</c:v>
                </c:pt>
                <c:pt idx="930">
                  <c:v>92.8</c:v>
                </c:pt>
                <c:pt idx="931">
                  <c:v>92.9</c:v>
                </c:pt>
                <c:pt idx="932">
                  <c:v>93</c:v>
                </c:pt>
                <c:pt idx="933">
                  <c:v>93.1</c:v>
                </c:pt>
                <c:pt idx="934">
                  <c:v>93.2</c:v>
                </c:pt>
                <c:pt idx="935">
                  <c:v>93.3</c:v>
                </c:pt>
                <c:pt idx="936">
                  <c:v>93.4</c:v>
                </c:pt>
                <c:pt idx="937">
                  <c:v>93.5</c:v>
                </c:pt>
                <c:pt idx="938">
                  <c:v>93.6</c:v>
                </c:pt>
                <c:pt idx="939">
                  <c:v>93.7</c:v>
                </c:pt>
                <c:pt idx="940">
                  <c:v>93.8</c:v>
                </c:pt>
                <c:pt idx="941">
                  <c:v>93.9</c:v>
                </c:pt>
                <c:pt idx="942">
                  <c:v>94</c:v>
                </c:pt>
                <c:pt idx="943">
                  <c:v>94.1</c:v>
                </c:pt>
                <c:pt idx="944">
                  <c:v>94.2</c:v>
                </c:pt>
                <c:pt idx="945">
                  <c:v>94.3</c:v>
                </c:pt>
                <c:pt idx="946">
                  <c:v>94.4</c:v>
                </c:pt>
                <c:pt idx="947">
                  <c:v>94.5</c:v>
                </c:pt>
                <c:pt idx="948">
                  <c:v>94.6</c:v>
                </c:pt>
                <c:pt idx="949">
                  <c:v>94.7</c:v>
                </c:pt>
                <c:pt idx="950">
                  <c:v>94.8</c:v>
                </c:pt>
                <c:pt idx="951">
                  <c:v>94.9</c:v>
                </c:pt>
                <c:pt idx="952">
                  <c:v>95</c:v>
                </c:pt>
                <c:pt idx="953">
                  <c:v>95.1</c:v>
                </c:pt>
                <c:pt idx="954">
                  <c:v>95.2</c:v>
                </c:pt>
                <c:pt idx="955">
                  <c:v>95.3</c:v>
                </c:pt>
                <c:pt idx="956">
                  <c:v>95.4</c:v>
                </c:pt>
                <c:pt idx="957">
                  <c:v>95.5</c:v>
                </c:pt>
                <c:pt idx="958">
                  <c:v>95.6</c:v>
                </c:pt>
                <c:pt idx="959">
                  <c:v>95.7</c:v>
                </c:pt>
                <c:pt idx="960">
                  <c:v>95.8</c:v>
                </c:pt>
                <c:pt idx="961">
                  <c:v>95.9</c:v>
                </c:pt>
                <c:pt idx="962">
                  <c:v>96</c:v>
                </c:pt>
                <c:pt idx="963">
                  <c:v>96.1</c:v>
                </c:pt>
                <c:pt idx="964">
                  <c:v>96.2</c:v>
                </c:pt>
                <c:pt idx="965">
                  <c:v>96.3</c:v>
                </c:pt>
                <c:pt idx="966">
                  <c:v>96.4</c:v>
                </c:pt>
                <c:pt idx="967">
                  <c:v>96.5</c:v>
                </c:pt>
                <c:pt idx="968">
                  <c:v>96.6</c:v>
                </c:pt>
                <c:pt idx="969">
                  <c:v>96.7</c:v>
                </c:pt>
                <c:pt idx="970">
                  <c:v>96.8</c:v>
                </c:pt>
                <c:pt idx="971">
                  <c:v>96.9</c:v>
                </c:pt>
                <c:pt idx="972">
                  <c:v>97</c:v>
                </c:pt>
                <c:pt idx="973">
                  <c:v>97.1</c:v>
                </c:pt>
                <c:pt idx="974">
                  <c:v>97.2</c:v>
                </c:pt>
                <c:pt idx="975">
                  <c:v>97.3</c:v>
                </c:pt>
                <c:pt idx="976">
                  <c:v>97.4</c:v>
                </c:pt>
                <c:pt idx="977">
                  <c:v>97.5</c:v>
                </c:pt>
                <c:pt idx="978">
                  <c:v>97.6</c:v>
                </c:pt>
                <c:pt idx="979">
                  <c:v>97.7</c:v>
                </c:pt>
                <c:pt idx="980">
                  <c:v>97.8</c:v>
                </c:pt>
                <c:pt idx="981">
                  <c:v>97.9</c:v>
                </c:pt>
                <c:pt idx="982">
                  <c:v>98</c:v>
                </c:pt>
                <c:pt idx="983">
                  <c:v>98.1</c:v>
                </c:pt>
                <c:pt idx="984">
                  <c:v>98.2</c:v>
                </c:pt>
                <c:pt idx="985">
                  <c:v>98.3</c:v>
                </c:pt>
                <c:pt idx="986">
                  <c:v>98.4</c:v>
                </c:pt>
                <c:pt idx="987">
                  <c:v>98.5</c:v>
                </c:pt>
                <c:pt idx="988">
                  <c:v>98.6</c:v>
                </c:pt>
                <c:pt idx="989">
                  <c:v>98.7</c:v>
                </c:pt>
                <c:pt idx="990">
                  <c:v>98.8</c:v>
                </c:pt>
                <c:pt idx="991">
                  <c:v>98.9</c:v>
                </c:pt>
                <c:pt idx="992">
                  <c:v>99</c:v>
                </c:pt>
                <c:pt idx="993">
                  <c:v>99.1</c:v>
                </c:pt>
                <c:pt idx="994">
                  <c:v>99.2</c:v>
                </c:pt>
                <c:pt idx="995">
                  <c:v>99.3</c:v>
                </c:pt>
                <c:pt idx="996">
                  <c:v>99.4</c:v>
                </c:pt>
                <c:pt idx="997">
                  <c:v>99.5</c:v>
                </c:pt>
                <c:pt idx="998">
                  <c:v>99.6</c:v>
                </c:pt>
                <c:pt idx="999">
                  <c:v>99.7</c:v>
                </c:pt>
                <c:pt idx="1000">
                  <c:v>99.8</c:v>
                </c:pt>
                <c:pt idx="1001">
                  <c:v>99.9</c:v>
                </c:pt>
                <c:pt idx="1002">
                  <c:v>100</c:v>
                </c:pt>
                <c:pt idx="1003">
                  <c:v>100.1</c:v>
                </c:pt>
              </c:strCache>
            </c:strRef>
          </c:xVal>
          <c:yVal>
            <c:numRef>
              <c:f>'Data In'!$D$4:$D$1807</c:f>
              <c:numCache>
                <c:formatCode>General</c:formatCode>
                <c:ptCount val="1804"/>
                <c:pt idx="0">
                  <c:v>0</c:v>
                </c:pt>
                <c:pt idx="1">
                  <c:v>80.09</c:v>
                </c:pt>
                <c:pt idx="3">
                  <c:v>0</c:v>
                </c:pt>
                <c:pt idx="4">
                  <c:v>29.6</c:v>
                </c:pt>
                <c:pt idx="5">
                  <c:v>29.77</c:v>
                </c:pt>
                <c:pt idx="6">
                  <c:v>29.81</c:v>
                </c:pt>
                <c:pt idx="7">
                  <c:v>29.83</c:v>
                </c:pt>
                <c:pt idx="8">
                  <c:v>29.91</c:v>
                </c:pt>
                <c:pt idx="9">
                  <c:v>30.12</c:v>
                </c:pt>
                <c:pt idx="10">
                  <c:v>30.33</c:v>
                </c:pt>
                <c:pt idx="11">
                  <c:v>30.63</c:v>
                </c:pt>
                <c:pt idx="12">
                  <c:v>30.92</c:v>
                </c:pt>
                <c:pt idx="13">
                  <c:v>31.34</c:v>
                </c:pt>
                <c:pt idx="14">
                  <c:v>31.76</c:v>
                </c:pt>
                <c:pt idx="15">
                  <c:v>32.21</c:v>
                </c:pt>
                <c:pt idx="16">
                  <c:v>32.770000000000003</c:v>
                </c:pt>
                <c:pt idx="17">
                  <c:v>33.270000000000003</c:v>
                </c:pt>
                <c:pt idx="18">
                  <c:v>33.79</c:v>
                </c:pt>
                <c:pt idx="19">
                  <c:v>34.31</c:v>
                </c:pt>
                <c:pt idx="20">
                  <c:v>34.86</c:v>
                </c:pt>
                <c:pt idx="21">
                  <c:v>35.409999999999997</c:v>
                </c:pt>
                <c:pt idx="22">
                  <c:v>35.94</c:v>
                </c:pt>
                <c:pt idx="23">
                  <c:v>36.53</c:v>
                </c:pt>
                <c:pt idx="24">
                  <c:v>37.08</c:v>
                </c:pt>
                <c:pt idx="25">
                  <c:v>37.64</c:v>
                </c:pt>
                <c:pt idx="26">
                  <c:v>38.21</c:v>
                </c:pt>
                <c:pt idx="27">
                  <c:v>38.76</c:v>
                </c:pt>
                <c:pt idx="28">
                  <c:v>39.299999999999997</c:v>
                </c:pt>
                <c:pt idx="29">
                  <c:v>39.85</c:v>
                </c:pt>
                <c:pt idx="30">
                  <c:v>40.369999999999997</c:v>
                </c:pt>
                <c:pt idx="31">
                  <c:v>40.96</c:v>
                </c:pt>
                <c:pt idx="32">
                  <c:v>41.48</c:v>
                </c:pt>
                <c:pt idx="33">
                  <c:v>42.02</c:v>
                </c:pt>
                <c:pt idx="34">
                  <c:v>42.55</c:v>
                </c:pt>
                <c:pt idx="35">
                  <c:v>43.07</c:v>
                </c:pt>
                <c:pt idx="36">
                  <c:v>43.62</c:v>
                </c:pt>
                <c:pt idx="37">
                  <c:v>44.12</c:v>
                </c:pt>
                <c:pt idx="38">
                  <c:v>44.62</c:v>
                </c:pt>
                <c:pt idx="39">
                  <c:v>45.12</c:v>
                </c:pt>
                <c:pt idx="40">
                  <c:v>45.62</c:v>
                </c:pt>
                <c:pt idx="41">
                  <c:v>46.11</c:v>
                </c:pt>
                <c:pt idx="42">
                  <c:v>46.64</c:v>
                </c:pt>
                <c:pt idx="43">
                  <c:v>47.16</c:v>
                </c:pt>
                <c:pt idx="44">
                  <c:v>47.65</c:v>
                </c:pt>
                <c:pt idx="45">
                  <c:v>47.96</c:v>
                </c:pt>
                <c:pt idx="46">
                  <c:v>48.44</c:v>
                </c:pt>
                <c:pt idx="47">
                  <c:v>48.91</c:v>
                </c:pt>
                <c:pt idx="48">
                  <c:v>49.33</c:v>
                </c:pt>
                <c:pt idx="49">
                  <c:v>49.76</c:v>
                </c:pt>
                <c:pt idx="50">
                  <c:v>50.16</c:v>
                </c:pt>
                <c:pt idx="51">
                  <c:v>50.54</c:v>
                </c:pt>
                <c:pt idx="52">
                  <c:v>50.92</c:v>
                </c:pt>
                <c:pt idx="53">
                  <c:v>51.16</c:v>
                </c:pt>
                <c:pt idx="54">
                  <c:v>51.45</c:v>
                </c:pt>
                <c:pt idx="55">
                  <c:v>51.63</c:v>
                </c:pt>
                <c:pt idx="56">
                  <c:v>51.82</c:v>
                </c:pt>
                <c:pt idx="57">
                  <c:v>51.88</c:v>
                </c:pt>
                <c:pt idx="58">
                  <c:v>52.01</c:v>
                </c:pt>
                <c:pt idx="59">
                  <c:v>52.03</c:v>
                </c:pt>
                <c:pt idx="60">
                  <c:v>52.03</c:v>
                </c:pt>
                <c:pt idx="61">
                  <c:v>51.99</c:v>
                </c:pt>
                <c:pt idx="62">
                  <c:v>51.93</c:v>
                </c:pt>
                <c:pt idx="63">
                  <c:v>51.82</c:v>
                </c:pt>
                <c:pt idx="64">
                  <c:v>51.71</c:v>
                </c:pt>
                <c:pt idx="65">
                  <c:v>51.57</c:v>
                </c:pt>
                <c:pt idx="66">
                  <c:v>51.49</c:v>
                </c:pt>
                <c:pt idx="67">
                  <c:v>51.35</c:v>
                </c:pt>
                <c:pt idx="68">
                  <c:v>51.15</c:v>
                </c:pt>
                <c:pt idx="69">
                  <c:v>51.02</c:v>
                </c:pt>
                <c:pt idx="70">
                  <c:v>50.92</c:v>
                </c:pt>
                <c:pt idx="71">
                  <c:v>50.69</c:v>
                </c:pt>
                <c:pt idx="72">
                  <c:v>50.6</c:v>
                </c:pt>
                <c:pt idx="73">
                  <c:v>50.43</c:v>
                </c:pt>
                <c:pt idx="74">
                  <c:v>50.29</c:v>
                </c:pt>
                <c:pt idx="75">
                  <c:v>50.19</c:v>
                </c:pt>
                <c:pt idx="76">
                  <c:v>50</c:v>
                </c:pt>
                <c:pt idx="77">
                  <c:v>49.95</c:v>
                </c:pt>
                <c:pt idx="78">
                  <c:v>49.87</c:v>
                </c:pt>
                <c:pt idx="79">
                  <c:v>49.83</c:v>
                </c:pt>
                <c:pt idx="80">
                  <c:v>49.82</c:v>
                </c:pt>
                <c:pt idx="81">
                  <c:v>49.77</c:v>
                </c:pt>
                <c:pt idx="82">
                  <c:v>49.77</c:v>
                </c:pt>
                <c:pt idx="83">
                  <c:v>49.76</c:v>
                </c:pt>
                <c:pt idx="84">
                  <c:v>49.79</c:v>
                </c:pt>
                <c:pt idx="85">
                  <c:v>49.83</c:v>
                </c:pt>
                <c:pt idx="86">
                  <c:v>49.89</c:v>
                </c:pt>
                <c:pt idx="87">
                  <c:v>49.93</c:v>
                </c:pt>
                <c:pt idx="88">
                  <c:v>49.91</c:v>
                </c:pt>
                <c:pt idx="89">
                  <c:v>50</c:v>
                </c:pt>
                <c:pt idx="90">
                  <c:v>50.03</c:v>
                </c:pt>
                <c:pt idx="91">
                  <c:v>50.12</c:v>
                </c:pt>
                <c:pt idx="92">
                  <c:v>50.14</c:v>
                </c:pt>
                <c:pt idx="93">
                  <c:v>50.22</c:v>
                </c:pt>
                <c:pt idx="94">
                  <c:v>50.2</c:v>
                </c:pt>
                <c:pt idx="95">
                  <c:v>50.24</c:v>
                </c:pt>
                <c:pt idx="96">
                  <c:v>50.34</c:v>
                </c:pt>
                <c:pt idx="97">
                  <c:v>50.38</c:v>
                </c:pt>
                <c:pt idx="98">
                  <c:v>50.39</c:v>
                </c:pt>
                <c:pt idx="99">
                  <c:v>50.41</c:v>
                </c:pt>
                <c:pt idx="100">
                  <c:v>50.43</c:v>
                </c:pt>
                <c:pt idx="101">
                  <c:v>50.47</c:v>
                </c:pt>
                <c:pt idx="102">
                  <c:v>50.5</c:v>
                </c:pt>
                <c:pt idx="103">
                  <c:v>50.49</c:v>
                </c:pt>
                <c:pt idx="104">
                  <c:v>50.53</c:v>
                </c:pt>
                <c:pt idx="105">
                  <c:v>50.55</c:v>
                </c:pt>
                <c:pt idx="106">
                  <c:v>50.55</c:v>
                </c:pt>
                <c:pt idx="107">
                  <c:v>50.52</c:v>
                </c:pt>
                <c:pt idx="108">
                  <c:v>50.56</c:v>
                </c:pt>
                <c:pt idx="109">
                  <c:v>50.54</c:v>
                </c:pt>
                <c:pt idx="110">
                  <c:v>50.56</c:v>
                </c:pt>
                <c:pt idx="111">
                  <c:v>50.54</c:v>
                </c:pt>
                <c:pt idx="112">
                  <c:v>50.58</c:v>
                </c:pt>
                <c:pt idx="113">
                  <c:v>50.56</c:v>
                </c:pt>
                <c:pt idx="114">
                  <c:v>50.53</c:v>
                </c:pt>
                <c:pt idx="115">
                  <c:v>50.54</c:v>
                </c:pt>
                <c:pt idx="116">
                  <c:v>50.53</c:v>
                </c:pt>
                <c:pt idx="117">
                  <c:v>50.5</c:v>
                </c:pt>
                <c:pt idx="118">
                  <c:v>50.49</c:v>
                </c:pt>
                <c:pt idx="119">
                  <c:v>50.46</c:v>
                </c:pt>
                <c:pt idx="120">
                  <c:v>50.52</c:v>
                </c:pt>
                <c:pt idx="121">
                  <c:v>50.52</c:v>
                </c:pt>
                <c:pt idx="122">
                  <c:v>50.49</c:v>
                </c:pt>
                <c:pt idx="123">
                  <c:v>50.48</c:v>
                </c:pt>
                <c:pt idx="124">
                  <c:v>50.49</c:v>
                </c:pt>
                <c:pt idx="125">
                  <c:v>50.52</c:v>
                </c:pt>
                <c:pt idx="126">
                  <c:v>50.49</c:v>
                </c:pt>
                <c:pt idx="127">
                  <c:v>50.49</c:v>
                </c:pt>
                <c:pt idx="128">
                  <c:v>50.46</c:v>
                </c:pt>
                <c:pt idx="129">
                  <c:v>50.5</c:v>
                </c:pt>
                <c:pt idx="130">
                  <c:v>50.49</c:v>
                </c:pt>
                <c:pt idx="131">
                  <c:v>50.43</c:v>
                </c:pt>
                <c:pt idx="132">
                  <c:v>50.49</c:v>
                </c:pt>
                <c:pt idx="133">
                  <c:v>50.46</c:v>
                </c:pt>
                <c:pt idx="134">
                  <c:v>50.48</c:v>
                </c:pt>
                <c:pt idx="135">
                  <c:v>50.47</c:v>
                </c:pt>
                <c:pt idx="136">
                  <c:v>50.48</c:v>
                </c:pt>
                <c:pt idx="137">
                  <c:v>50.47</c:v>
                </c:pt>
                <c:pt idx="138">
                  <c:v>50.42</c:v>
                </c:pt>
                <c:pt idx="139">
                  <c:v>50.43</c:v>
                </c:pt>
                <c:pt idx="140">
                  <c:v>50.48</c:v>
                </c:pt>
                <c:pt idx="141">
                  <c:v>50.43</c:v>
                </c:pt>
                <c:pt idx="142">
                  <c:v>50.45</c:v>
                </c:pt>
                <c:pt idx="143">
                  <c:v>50.45</c:v>
                </c:pt>
                <c:pt idx="144">
                  <c:v>50.41</c:v>
                </c:pt>
                <c:pt idx="145">
                  <c:v>50.41</c:v>
                </c:pt>
                <c:pt idx="146">
                  <c:v>50.41</c:v>
                </c:pt>
                <c:pt idx="147">
                  <c:v>50.45</c:v>
                </c:pt>
                <c:pt idx="148">
                  <c:v>50.44</c:v>
                </c:pt>
                <c:pt idx="149">
                  <c:v>50.45</c:v>
                </c:pt>
                <c:pt idx="150">
                  <c:v>50.46</c:v>
                </c:pt>
                <c:pt idx="151">
                  <c:v>50.47</c:v>
                </c:pt>
                <c:pt idx="152">
                  <c:v>50.46</c:v>
                </c:pt>
                <c:pt idx="153">
                  <c:v>50.46</c:v>
                </c:pt>
                <c:pt idx="154">
                  <c:v>50.47</c:v>
                </c:pt>
                <c:pt idx="155">
                  <c:v>50.42</c:v>
                </c:pt>
                <c:pt idx="156">
                  <c:v>50.41</c:v>
                </c:pt>
                <c:pt idx="157">
                  <c:v>50.43</c:v>
                </c:pt>
                <c:pt idx="158">
                  <c:v>50.46</c:v>
                </c:pt>
                <c:pt idx="159">
                  <c:v>50.47</c:v>
                </c:pt>
                <c:pt idx="160">
                  <c:v>50.45</c:v>
                </c:pt>
                <c:pt idx="161">
                  <c:v>50.4</c:v>
                </c:pt>
                <c:pt idx="162">
                  <c:v>50.43</c:v>
                </c:pt>
                <c:pt idx="163">
                  <c:v>50.44</c:v>
                </c:pt>
                <c:pt idx="164">
                  <c:v>50.45</c:v>
                </c:pt>
                <c:pt idx="165">
                  <c:v>50.45</c:v>
                </c:pt>
                <c:pt idx="166">
                  <c:v>50.46</c:v>
                </c:pt>
                <c:pt idx="167">
                  <c:v>50.44</c:v>
                </c:pt>
                <c:pt idx="168">
                  <c:v>50.45</c:v>
                </c:pt>
                <c:pt idx="169">
                  <c:v>50.42</c:v>
                </c:pt>
                <c:pt idx="170">
                  <c:v>50.46</c:v>
                </c:pt>
                <c:pt idx="171">
                  <c:v>50.48</c:v>
                </c:pt>
                <c:pt idx="172">
                  <c:v>50.47</c:v>
                </c:pt>
                <c:pt idx="173">
                  <c:v>50.45</c:v>
                </c:pt>
                <c:pt idx="174">
                  <c:v>50.45</c:v>
                </c:pt>
                <c:pt idx="175">
                  <c:v>50.46</c:v>
                </c:pt>
                <c:pt idx="176">
                  <c:v>50.47</c:v>
                </c:pt>
                <c:pt idx="177">
                  <c:v>50.47</c:v>
                </c:pt>
                <c:pt idx="178">
                  <c:v>50.39</c:v>
                </c:pt>
                <c:pt idx="179">
                  <c:v>50.44</c:v>
                </c:pt>
                <c:pt idx="180">
                  <c:v>50.45</c:v>
                </c:pt>
                <c:pt idx="181">
                  <c:v>50.47</c:v>
                </c:pt>
                <c:pt idx="182">
                  <c:v>50.52</c:v>
                </c:pt>
                <c:pt idx="183">
                  <c:v>50.48</c:v>
                </c:pt>
                <c:pt idx="184">
                  <c:v>50.53</c:v>
                </c:pt>
                <c:pt idx="185">
                  <c:v>50.5</c:v>
                </c:pt>
                <c:pt idx="186">
                  <c:v>50.54</c:v>
                </c:pt>
                <c:pt idx="187">
                  <c:v>50.52</c:v>
                </c:pt>
                <c:pt idx="188">
                  <c:v>50.54</c:v>
                </c:pt>
                <c:pt idx="189">
                  <c:v>50.5</c:v>
                </c:pt>
                <c:pt idx="190">
                  <c:v>50.53</c:v>
                </c:pt>
                <c:pt idx="191">
                  <c:v>50.62</c:v>
                </c:pt>
                <c:pt idx="192">
                  <c:v>50.58</c:v>
                </c:pt>
                <c:pt idx="193">
                  <c:v>50.59</c:v>
                </c:pt>
                <c:pt idx="194">
                  <c:v>50.6</c:v>
                </c:pt>
                <c:pt idx="195">
                  <c:v>50.63</c:v>
                </c:pt>
                <c:pt idx="196">
                  <c:v>50.61</c:v>
                </c:pt>
                <c:pt idx="197">
                  <c:v>50.56</c:v>
                </c:pt>
                <c:pt idx="198">
                  <c:v>50.55</c:v>
                </c:pt>
                <c:pt idx="199">
                  <c:v>50.52</c:v>
                </c:pt>
                <c:pt idx="200">
                  <c:v>50.55</c:v>
                </c:pt>
                <c:pt idx="201">
                  <c:v>50.56</c:v>
                </c:pt>
                <c:pt idx="202">
                  <c:v>50.54</c:v>
                </c:pt>
                <c:pt idx="203">
                  <c:v>50.56</c:v>
                </c:pt>
                <c:pt idx="204">
                  <c:v>50.49</c:v>
                </c:pt>
                <c:pt idx="205">
                  <c:v>50.54</c:v>
                </c:pt>
                <c:pt idx="206">
                  <c:v>50.52</c:v>
                </c:pt>
                <c:pt idx="207">
                  <c:v>50.49</c:v>
                </c:pt>
                <c:pt idx="208">
                  <c:v>50.52</c:v>
                </c:pt>
                <c:pt idx="209">
                  <c:v>50.49</c:v>
                </c:pt>
                <c:pt idx="210">
                  <c:v>50.5</c:v>
                </c:pt>
                <c:pt idx="211">
                  <c:v>50.47</c:v>
                </c:pt>
                <c:pt idx="212">
                  <c:v>50.49</c:v>
                </c:pt>
                <c:pt idx="213">
                  <c:v>50.43</c:v>
                </c:pt>
                <c:pt idx="214">
                  <c:v>50.43</c:v>
                </c:pt>
                <c:pt idx="215">
                  <c:v>50.45</c:v>
                </c:pt>
                <c:pt idx="216">
                  <c:v>50.45</c:v>
                </c:pt>
                <c:pt idx="217">
                  <c:v>50.48</c:v>
                </c:pt>
                <c:pt idx="218">
                  <c:v>50.49</c:v>
                </c:pt>
                <c:pt idx="219">
                  <c:v>50.45</c:v>
                </c:pt>
                <c:pt idx="220">
                  <c:v>50.45</c:v>
                </c:pt>
                <c:pt idx="221">
                  <c:v>50.44</c:v>
                </c:pt>
                <c:pt idx="222">
                  <c:v>50.44</c:v>
                </c:pt>
                <c:pt idx="223">
                  <c:v>0.02</c:v>
                </c:pt>
                <c:pt idx="224">
                  <c:v>50.4</c:v>
                </c:pt>
                <c:pt idx="225">
                  <c:v>50.43</c:v>
                </c:pt>
                <c:pt idx="226">
                  <c:v>50.45</c:v>
                </c:pt>
                <c:pt idx="227">
                  <c:v>50.44</c:v>
                </c:pt>
                <c:pt idx="228">
                  <c:v>50.43</c:v>
                </c:pt>
                <c:pt idx="229">
                  <c:v>50.47</c:v>
                </c:pt>
                <c:pt idx="230">
                  <c:v>50.47</c:v>
                </c:pt>
                <c:pt idx="231">
                  <c:v>50.44</c:v>
                </c:pt>
                <c:pt idx="232">
                  <c:v>50.44</c:v>
                </c:pt>
                <c:pt idx="233">
                  <c:v>50.47</c:v>
                </c:pt>
                <c:pt idx="234">
                  <c:v>50.46</c:v>
                </c:pt>
                <c:pt idx="235">
                  <c:v>50.43</c:v>
                </c:pt>
                <c:pt idx="236">
                  <c:v>50.45</c:v>
                </c:pt>
                <c:pt idx="237">
                  <c:v>50.42</c:v>
                </c:pt>
                <c:pt idx="238">
                  <c:v>50.42</c:v>
                </c:pt>
                <c:pt idx="239">
                  <c:v>50.42</c:v>
                </c:pt>
                <c:pt idx="240">
                  <c:v>50.44</c:v>
                </c:pt>
                <c:pt idx="241">
                  <c:v>50.42</c:v>
                </c:pt>
                <c:pt idx="242">
                  <c:v>50.47</c:v>
                </c:pt>
                <c:pt idx="243">
                  <c:v>50.46</c:v>
                </c:pt>
                <c:pt idx="244">
                  <c:v>50.41</c:v>
                </c:pt>
                <c:pt idx="245">
                  <c:v>50.46</c:v>
                </c:pt>
                <c:pt idx="246">
                  <c:v>50.46</c:v>
                </c:pt>
                <c:pt idx="247">
                  <c:v>50.47</c:v>
                </c:pt>
                <c:pt idx="248">
                  <c:v>50.44</c:v>
                </c:pt>
                <c:pt idx="249">
                  <c:v>50.47</c:v>
                </c:pt>
                <c:pt idx="250">
                  <c:v>50.42</c:v>
                </c:pt>
                <c:pt idx="251">
                  <c:v>50.44</c:v>
                </c:pt>
                <c:pt idx="252">
                  <c:v>50.45</c:v>
                </c:pt>
                <c:pt idx="253">
                  <c:v>50.47</c:v>
                </c:pt>
                <c:pt idx="254">
                  <c:v>50.47</c:v>
                </c:pt>
                <c:pt idx="255">
                  <c:v>50.45</c:v>
                </c:pt>
                <c:pt idx="256">
                  <c:v>50.45</c:v>
                </c:pt>
                <c:pt idx="257">
                  <c:v>50.43</c:v>
                </c:pt>
                <c:pt idx="258">
                  <c:v>50.43</c:v>
                </c:pt>
                <c:pt idx="259">
                  <c:v>50.45</c:v>
                </c:pt>
                <c:pt idx="260">
                  <c:v>50.46</c:v>
                </c:pt>
                <c:pt idx="261">
                  <c:v>50.43</c:v>
                </c:pt>
                <c:pt idx="262">
                  <c:v>50.44</c:v>
                </c:pt>
                <c:pt idx="263">
                  <c:v>50.47</c:v>
                </c:pt>
                <c:pt idx="264">
                  <c:v>50.46</c:v>
                </c:pt>
                <c:pt idx="265">
                  <c:v>50.43</c:v>
                </c:pt>
                <c:pt idx="266">
                  <c:v>50.44</c:v>
                </c:pt>
                <c:pt idx="267">
                  <c:v>50.43</c:v>
                </c:pt>
                <c:pt idx="268">
                  <c:v>50.38</c:v>
                </c:pt>
                <c:pt idx="269">
                  <c:v>50.43</c:v>
                </c:pt>
                <c:pt idx="270">
                  <c:v>50.41</c:v>
                </c:pt>
                <c:pt idx="271">
                  <c:v>50.38</c:v>
                </c:pt>
                <c:pt idx="272">
                  <c:v>50.42</c:v>
                </c:pt>
                <c:pt idx="273">
                  <c:v>50.44</c:v>
                </c:pt>
                <c:pt idx="274">
                  <c:v>50.38</c:v>
                </c:pt>
                <c:pt idx="275">
                  <c:v>50.44</c:v>
                </c:pt>
                <c:pt idx="276">
                  <c:v>50.44</c:v>
                </c:pt>
                <c:pt idx="277">
                  <c:v>50.45</c:v>
                </c:pt>
                <c:pt idx="278">
                  <c:v>50.45</c:v>
                </c:pt>
                <c:pt idx="279">
                  <c:v>50.45</c:v>
                </c:pt>
                <c:pt idx="280">
                  <c:v>50.43</c:v>
                </c:pt>
                <c:pt idx="281">
                  <c:v>50.49</c:v>
                </c:pt>
                <c:pt idx="282">
                  <c:v>50.45</c:v>
                </c:pt>
                <c:pt idx="283">
                  <c:v>50.5</c:v>
                </c:pt>
                <c:pt idx="284">
                  <c:v>50.46</c:v>
                </c:pt>
                <c:pt idx="285">
                  <c:v>50.51</c:v>
                </c:pt>
                <c:pt idx="286">
                  <c:v>50.46</c:v>
                </c:pt>
                <c:pt idx="287">
                  <c:v>50.49</c:v>
                </c:pt>
                <c:pt idx="288">
                  <c:v>50.5</c:v>
                </c:pt>
                <c:pt idx="289">
                  <c:v>50.5</c:v>
                </c:pt>
                <c:pt idx="290">
                  <c:v>50.47</c:v>
                </c:pt>
                <c:pt idx="291">
                  <c:v>50.49</c:v>
                </c:pt>
                <c:pt idx="292">
                  <c:v>50.49</c:v>
                </c:pt>
                <c:pt idx="293">
                  <c:v>50.49</c:v>
                </c:pt>
                <c:pt idx="294">
                  <c:v>50.52</c:v>
                </c:pt>
                <c:pt idx="295">
                  <c:v>50.51</c:v>
                </c:pt>
                <c:pt idx="296">
                  <c:v>50.49</c:v>
                </c:pt>
                <c:pt idx="297">
                  <c:v>50.49</c:v>
                </c:pt>
                <c:pt idx="298">
                  <c:v>50.49</c:v>
                </c:pt>
                <c:pt idx="299">
                  <c:v>50.5</c:v>
                </c:pt>
                <c:pt idx="300">
                  <c:v>50.47</c:v>
                </c:pt>
                <c:pt idx="301">
                  <c:v>50.47</c:v>
                </c:pt>
                <c:pt idx="302">
                  <c:v>50.51</c:v>
                </c:pt>
                <c:pt idx="303">
                  <c:v>50.46</c:v>
                </c:pt>
                <c:pt idx="304">
                  <c:v>50.46</c:v>
                </c:pt>
                <c:pt idx="305">
                  <c:v>50.48</c:v>
                </c:pt>
                <c:pt idx="306">
                  <c:v>50.4</c:v>
                </c:pt>
                <c:pt idx="307">
                  <c:v>50.45</c:v>
                </c:pt>
                <c:pt idx="308">
                  <c:v>50.43</c:v>
                </c:pt>
                <c:pt idx="309">
                  <c:v>50.45</c:v>
                </c:pt>
                <c:pt idx="310">
                  <c:v>50.41</c:v>
                </c:pt>
                <c:pt idx="311">
                  <c:v>50.46</c:v>
                </c:pt>
                <c:pt idx="312">
                  <c:v>50.37</c:v>
                </c:pt>
                <c:pt idx="313">
                  <c:v>50.45</c:v>
                </c:pt>
                <c:pt idx="314">
                  <c:v>50.39</c:v>
                </c:pt>
                <c:pt idx="315">
                  <c:v>50.47</c:v>
                </c:pt>
                <c:pt idx="316">
                  <c:v>50.36</c:v>
                </c:pt>
                <c:pt idx="317">
                  <c:v>50.53</c:v>
                </c:pt>
                <c:pt idx="318">
                  <c:v>50.37</c:v>
                </c:pt>
                <c:pt idx="319">
                  <c:v>50.5</c:v>
                </c:pt>
                <c:pt idx="320">
                  <c:v>50.37</c:v>
                </c:pt>
                <c:pt idx="321">
                  <c:v>50.52</c:v>
                </c:pt>
                <c:pt idx="322">
                  <c:v>50.38</c:v>
                </c:pt>
                <c:pt idx="323">
                  <c:v>50.6</c:v>
                </c:pt>
                <c:pt idx="324">
                  <c:v>50.43</c:v>
                </c:pt>
                <c:pt idx="325">
                  <c:v>50.62</c:v>
                </c:pt>
                <c:pt idx="326">
                  <c:v>50.45</c:v>
                </c:pt>
                <c:pt idx="327">
                  <c:v>50.65</c:v>
                </c:pt>
                <c:pt idx="328">
                  <c:v>50.49</c:v>
                </c:pt>
                <c:pt idx="329">
                  <c:v>50.66</c:v>
                </c:pt>
                <c:pt idx="330">
                  <c:v>50.54</c:v>
                </c:pt>
                <c:pt idx="331">
                  <c:v>50.69</c:v>
                </c:pt>
                <c:pt idx="332">
                  <c:v>50.58</c:v>
                </c:pt>
                <c:pt idx="333">
                  <c:v>50.74</c:v>
                </c:pt>
                <c:pt idx="334">
                  <c:v>50.69</c:v>
                </c:pt>
                <c:pt idx="335">
                  <c:v>50.78</c:v>
                </c:pt>
                <c:pt idx="336">
                  <c:v>50.76</c:v>
                </c:pt>
                <c:pt idx="337">
                  <c:v>50.79</c:v>
                </c:pt>
                <c:pt idx="338">
                  <c:v>50.9</c:v>
                </c:pt>
                <c:pt idx="339">
                  <c:v>50.98</c:v>
                </c:pt>
                <c:pt idx="340">
                  <c:v>51.16</c:v>
                </c:pt>
                <c:pt idx="341">
                  <c:v>51.26</c:v>
                </c:pt>
                <c:pt idx="342">
                  <c:v>51.48</c:v>
                </c:pt>
                <c:pt idx="343">
                  <c:v>51.76</c:v>
                </c:pt>
                <c:pt idx="344">
                  <c:v>51.98</c:v>
                </c:pt>
                <c:pt idx="345">
                  <c:v>52.27</c:v>
                </c:pt>
                <c:pt idx="346">
                  <c:v>52.57</c:v>
                </c:pt>
                <c:pt idx="347">
                  <c:v>52.9</c:v>
                </c:pt>
                <c:pt idx="348">
                  <c:v>53.21</c:v>
                </c:pt>
                <c:pt idx="349">
                  <c:v>53.5</c:v>
                </c:pt>
                <c:pt idx="350">
                  <c:v>53.87</c:v>
                </c:pt>
                <c:pt idx="351">
                  <c:v>54.17</c:v>
                </c:pt>
                <c:pt idx="352">
                  <c:v>54.51</c:v>
                </c:pt>
                <c:pt idx="353">
                  <c:v>54.83</c:v>
                </c:pt>
                <c:pt idx="354">
                  <c:v>55.17</c:v>
                </c:pt>
                <c:pt idx="355">
                  <c:v>55.45</c:v>
                </c:pt>
                <c:pt idx="356">
                  <c:v>55.85</c:v>
                </c:pt>
                <c:pt idx="357">
                  <c:v>56.18</c:v>
                </c:pt>
                <c:pt idx="358">
                  <c:v>56.5</c:v>
                </c:pt>
                <c:pt idx="359">
                  <c:v>56.81</c:v>
                </c:pt>
                <c:pt idx="360">
                  <c:v>57.17</c:v>
                </c:pt>
                <c:pt idx="361">
                  <c:v>57.52</c:v>
                </c:pt>
                <c:pt idx="362">
                  <c:v>57.85</c:v>
                </c:pt>
                <c:pt idx="363">
                  <c:v>58.2</c:v>
                </c:pt>
                <c:pt idx="364">
                  <c:v>58.5</c:v>
                </c:pt>
                <c:pt idx="365">
                  <c:v>58.84</c:v>
                </c:pt>
                <c:pt idx="366">
                  <c:v>59.15</c:v>
                </c:pt>
                <c:pt idx="367">
                  <c:v>59.48</c:v>
                </c:pt>
                <c:pt idx="368">
                  <c:v>59.79</c:v>
                </c:pt>
                <c:pt idx="369">
                  <c:v>60.08</c:v>
                </c:pt>
                <c:pt idx="370">
                  <c:v>60.39</c:v>
                </c:pt>
                <c:pt idx="371">
                  <c:v>60.66</c:v>
                </c:pt>
                <c:pt idx="372">
                  <c:v>61</c:v>
                </c:pt>
                <c:pt idx="373">
                  <c:v>61.25</c:v>
                </c:pt>
                <c:pt idx="374">
                  <c:v>61.58</c:v>
                </c:pt>
                <c:pt idx="375">
                  <c:v>61.87</c:v>
                </c:pt>
                <c:pt idx="376">
                  <c:v>62.19</c:v>
                </c:pt>
                <c:pt idx="377">
                  <c:v>62.46</c:v>
                </c:pt>
                <c:pt idx="378">
                  <c:v>62.76</c:v>
                </c:pt>
                <c:pt idx="379">
                  <c:v>63.01</c:v>
                </c:pt>
                <c:pt idx="380">
                  <c:v>63.3</c:v>
                </c:pt>
                <c:pt idx="381">
                  <c:v>63.6</c:v>
                </c:pt>
                <c:pt idx="382">
                  <c:v>63.82</c:v>
                </c:pt>
                <c:pt idx="383">
                  <c:v>64.13</c:v>
                </c:pt>
                <c:pt idx="384">
                  <c:v>64.39</c:v>
                </c:pt>
                <c:pt idx="385">
                  <c:v>64.61</c:v>
                </c:pt>
                <c:pt idx="386">
                  <c:v>64.88</c:v>
                </c:pt>
                <c:pt idx="387">
                  <c:v>65.069999999999993</c:v>
                </c:pt>
                <c:pt idx="388">
                  <c:v>65.3</c:v>
                </c:pt>
                <c:pt idx="389">
                  <c:v>65.540000000000006</c:v>
                </c:pt>
                <c:pt idx="390">
                  <c:v>65.48</c:v>
                </c:pt>
                <c:pt idx="391">
                  <c:v>65.62</c:v>
                </c:pt>
                <c:pt idx="392">
                  <c:v>65.83</c:v>
                </c:pt>
                <c:pt idx="393">
                  <c:v>65.89</c:v>
                </c:pt>
                <c:pt idx="394">
                  <c:v>65.989999999999995</c:v>
                </c:pt>
                <c:pt idx="395">
                  <c:v>65.98</c:v>
                </c:pt>
                <c:pt idx="396">
                  <c:v>66.040000000000006</c:v>
                </c:pt>
                <c:pt idx="397">
                  <c:v>66.010000000000005</c:v>
                </c:pt>
                <c:pt idx="398">
                  <c:v>65.97</c:v>
                </c:pt>
                <c:pt idx="399">
                  <c:v>65.84</c:v>
                </c:pt>
                <c:pt idx="400">
                  <c:v>65.760000000000005</c:v>
                </c:pt>
                <c:pt idx="401">
                  <c:v>65.56</c:v>
                </c:pt>
                <c:pt idx="402">
                  <c:v>65.39</c:v>
                </c:pt>
                <c:pt idx="403">
                  <c:v>65.28</c:v>
                </c:pt>
                <c:pt idx="404">
                  <c:v>65.12</c:v>
                </c:pt>
                <c:pt idx="405">
                  <c:v>65.08</c:v>
                </c:pt>
                <c:pt idx="406">
                  <c:v>64.959999999999994</c:v>
                </c:pt>
                <c:pt idx="407">
                  <c:v>64.849999999999994</c:v>
                </c:pt>
                <c:pt idx="408">
                  <c:v>64.709999999999994</c:v>
                </c:pt>
                <c:pt idx="409">
                  <c:v>64.63</c:v>
                </c:pt>
                <c:pt idx="410">
                  <c:v>64.510000000000005</c:v>
                </c:pt>
                <c:pt idx="411">
                  <c:v>64.48</c:v>
                </c:pt>
                <c:pt idx="412">
                  <c:v>64.41</c:v>
                </c:pt>
                <c:pt idx="413">
                  <c:v>64.45</c:v>
                </c:pt>
                <c:pt idx="414">
                  <c:v>64.459999999999994</c:v>
                </c:pt>
                <c:pt idx="415">
                  <c:v>64.47</c:v>
                </c:pt>
                <c:pt idx="416">
                  <c:v>64.52</c:v>
                </c:pt>
                <c:pt idx="417">
                  <c:v>64.569999999999993</c:v>
                </c:pt>
                <c:pt idx="418">
                  <c:v>64.62</c:v>
                </c:pt>
                <c:pt idx="419">
                  <c:v>64.709999999999994</c:v>
                </c:pt>
                <c:pt idx="420">
                  <c:v>64.72</c:v>
                </c:pt>
                <c:pt idx="421">
                  <c:v>64.819999999999993</c:v>
                </c:pt>
                <c:pt idx="422">
                  <c:v>64.88</c:v>
                </c:pt>
                <c:pt idx="423">
                  <c:v>64.97</c:v>
                </c:pt>
                <c:pt idx="424">
                  <c:v>64.92</c:v>
                </c:pt>
                <c:pt idx="425">
                  <c:v>65.08</c:v>
                </c:pt>
                <c:pt idx="426">
                  <c:v>65.040000000000006</c:v>
                </c:pt>
                <c:pt idx="427">
                  <c:v>65.12</c:v>
                </c:pt>
                <c:pt idx="428">
                  <c:v>65.16</c:v>
                </c:pt>
                <c:pt idx="429">
                  <c:v>65.27</c:v>
                </c:pt>
                <c:pt idx="430">
                  <c:v>65.31</c:v>
                </c:pt>
                <c:pt idx="431">
                  <c:v>65.36</c:v>
                </c:pt>
                <c:pt idx="432">
                  <c:v>65.38</c:v>
                </c:pt>
                <c:pt idx="433">
                  <c:v>65.44</c:v>
                </c:pt>
                <c:pt idx="434">
                  <c:v>65.459999999999994</c:v>
                </c:pt>
                <c:pt idx="435">
                  <c:v>65.48</c:v>
                </c:pt>
                <c:pt idx="436">
                  <c:v>65.459999999999994</c:v>
                </c:pt>
                <c:pt idx="437">
                  <c:v>65.5</c:v>
                </c:pt>
                <c:pt idx="438">
                  <c:v>65.5</c:v>
                </c:pt>
                <c:pt idx="439">
                  <c:v>65.459999999999994</c:v>
                </c:pt>
                <c:pt idx="440">
                  <c:v>65.5</c:v>
                </c:pt>
                <c:pt idx="441">
                  <c:v>65.5</c:v>
                </c:pt>
                <c:pt idx="442">
                  <c:v>65.5</c:v>
                </c:pt>
                <c:pt idx="443">
                  <c:v>65.47</c:v>
                </c:pt>
                <c:pt idx="444">
                  <c:v>65.459999999999994</c:v>
                </c:pt>
                <c:pt idx="445">
                  <c:v>65.45</c:v>
                </c:pt>
                <c:pt idx="446">
                  <c:v>65.38</c:v>
                </c:pt>
                <c:pt idx="447">
                  <c:v>65.38</c:v>
                </c:pt>
                <c:pt idx="448">
                  <c:v>65.33</c:v>
                </c:pt>
                <c:pt idx="449">
                  <c:v>65.349999999999994</c:v>
                </c:pt>
                <c:pt idx="450">
                  <c:v>65.33</c:v>
                </c:pt>
                <c:pt idx="451">
                  <c:v>65.31</c:v>
                </c:pt>
                <c:pt idx="452">
                  <c:v>65.239999999999995</c:v>
                </c:pt>
                <c:pt idx="453">
                  <c:v>65.27</c:v>
                </c:pt>
                <c:pt idx="454">
                  <c:v>65.239999999999995</c:v>
                </c:pt>
                <c:pt idx="455">
                  <c:v>65.239999999999995</c:v>
                </c:pt>
                <c:pt idx="456">
                  <c:v>65.239999999999995</c:v>
                </c:pt>
                <c:pt idx="457">
                  <c:v>65.22</c:v>
                </c:pt>
                <c:pt idx="458">
                  <c:v>65.23</c:v>
                </c:pt>
                <c:pt idx="459">
                  <c:v>65.209999999999994</c:v>
                </c:pt>
                <c:pt idx="460">
                  <c:v>65.209999999999994</c:v>
                </c:pt>
                <c:pt idx="461">
                  <c:v>65.19</c:v>
                </c:pt>
                <c:pt idx="462">
                  <c:v>65.19</c:v>
                </c:pt>
                <c:pt idx="463">
                  <c:v>65.22</c:v>
                </c:pt>
                <c:pt idx="464">
                  <c:v>65.23</c:v>
                </c:pt>
                <c:pt idx="465">
                  <c:v>65.19</c:v>
                </c:pt>
                <c:pt idx="466">
                  <c:v>65.209999999999994</c:v>
                </c:pt>
                <c:pt idx="467">
                  <c:v>65.239999999999995</c:v>
                </c:pt>
                <c:pt idx="468">
                  <c:v>65.22</c:v>
                </c:pt>
                <c:pt idx="469">
                  <c:v>65.209999999999994</c:v>
                </c:pt>
                <c:pt idx="470">
                  <c:v>65.23</c:v>
                </c:pt>
                <c:pt idx="471">
                  <c:v>65.260000000000005</c:v>
                </c:pt>
                <c:pt idx="472">
                  <c:v>65.209999999999994</c:v>
                </c:pt>
                <c:pt idx="473">
                  <c:v>65.209999999999994</c:v>
                </c:pt>
                <c:pt idx="474">
                  <c:v>65.25</c:v>
                </c:pt>
                <c:pt idx="475">
                  <c:v>65.25</c:v>
                </c:pt>
                <c:pt idx="476">
                  <c:v>65.239999999999995</c:v>
                </c:pt>
                <c:pt idx="477">
                  <c:v>65.239999999999995</c:v>
                </c:pt>
                <c:pt idx="478">
                  <c:v>65.27</c:v>
                </c:pt>
                <c:pt idx="479">
                  <c:v>65.22</c:v>
                </c:pt>
                <c:pt idx="480">
                  <c:v>65.260000000000005</c:v>
                </c:pt>
                <c:pt idx="481">
                  <c:v>65.290000000000006</c:v>
                </c:pt>
                <c:pt idx="482">
                  <c:v>65.28</c:v>
                </c:pt>
                <c:pt idx="483">
                  <c:v>65.27</c:v>
                </c:pt>
                <c:pt idx="484">
                  <c:v>65.290000000000006</c:v>
                </c:pt>
                <c:pt idx="485">
                  <c:v>65.27</c:v>
                </c:pt>
                <c:pt idx="486">
                  <c:v>65.27</c:v>
                </c:pt>
                <c:pt idx="487">
                  <c:v>65.27</c:v>
                </c:pt>
                <c:pt idx="488">
                  <c:v>65.27</c:v>
                </c:pt>
                <c:pt idx="489">
                  <c:v>65.22</c:v>
                </c:pt>
                <c:pt idx="490">
                  <c:v>65.260000000000005</c:v>
                </c:pt>
                <c:pt idx="491">
                  <c:v>65.27</c:v>
                </c:pt>
                <c:pt idx="492">
                  <c:v>65.209999999999994</c:v>
                </c:pt>
                <c:pt idx="493">
                  <c:v>65.27</c:v>
                </c:pt>
                <c:pt idx="494">
                  <c:v>65.209999999999994</c:v>
                </c:pt>
                <c:pt idx="495">
                  <c:v>65.27</c:v>
                </c:pt>
                <c:pt idx="496">
                  <c:v>65.25</c:v>
                </c:pt>
                <c:pt idx="497">
                  <c:v>65.25</c:v>
                </c:pt>
                <c:pt idx="498">
                  <c:v>65.23</c:v>
                </c:pt>
                <c:pt idx="499">
                  <c:v>65.23</c:v>
                </c:pt>
                <c:pt idx="500">
                  <c:v>65.260000000000005</c:v>
                </c:pt>
                <c:pt idx="501">
                  <c:v>65.25</c:v>
                </c:pt>
                <c:pt idx="502">
                  <c:v>65.239999999999995</c:v>
                </c:pt>
                <c:pt idx="503">
                  <c:v>65.27</c:v>
                </c:pt>
                <c:pt idx="504">
                  <c:v>65.27</c:v>
                </c:pt>
                <c:pt idx="505">
                  <c:v>65.260000000000005</c:v>
                </c:pt>
                <c:pt idx="506">
                  <c:v>65.28</c:v>
                </c:pt>
                <c:pt idx="507">
                  <c:v>65.25</c:v>
                </c:pt>
                <c:pt idx="508">
                  <c:v>65.27</c:v>
                </c:pt>
                <c:pt idx="509">
                  <c:v>65.260000000000005</c:v>
                </c:pt>
                <c:pt idx="510">
                  <c:v>65.23</c:v>
                </c:pt>
                <c:pt idx="511">
                  <c:v>65.27</c:v>
                </c:pt>
                <c:pt idx="512">
                  <c:v>65.27</c:v>
                </c:pt>
                <c:pt idx="513">
                  <c:v>65.22</c:v>
                </c:pt>
                <c:pt idx="514">
                  <c:v>65.25</c:v>
                </c:pt>
                <c:pt idx="515">
                  <c:v>65.23</c:v>
                </c:pt>
                <c:pt idx="516">
                  <c:v>65.27</c:v>
                </c:pt>
                <c:pt idx="517">
                  <c:v>65.239999999999995</c:v>
                </c:pt>
                <c:pt idx="518">
                  <c:v>65.290000000000006</c:v>
                </c:pt>
                <c:pt idx="519">
                  <c:v>65.27</c:v>
                </c:pt>
                <c:pt idx="520">
                  <c:v>65.31</c:v>
                </c:pt>
                <c:pt idx="521">
                  <c:v>65.239999999999995</c:v>
                </c:pt>
                <c:pt idx="522">
                  <c:v>65.25</c:v>
                </c:pt>
                <c:pt idx="523">
                  <c:v>65.239999999999995</c:v>
                </c:pt>
                <c:pt idx="524">
                  <c:v>65.28</c:v>
                </c:pt>
                <c:pt idx="525">
                  <c:v>65.239999999999995</c:v>
                </c:pt>
                <c:pt idx="526">
                  <c:v>65.25</c:v>
                </c:pt>
                <c:pt idx="527">
                  <c:v>65.22</c:v>
                </c:pt>
                <c:pt idx="528">
                  <c:v>65.23</c:v>
                </c:pt>
                <c:pt idx="529">
                  <c:v>65.27</c:v>
                </c:pt>
                <c:pt idx="530">
                  <c:v>65.27</c:v>
                </c:pt>
                <c:pt idx="531">
                  <c:v>65.25</c:v>
                </c:pt>
                <c:pt idx="532">
                  <c:v>65.290000000000006</c:v>
                </c:pt>
                <c:pt idx="533">
                  <c:v>65.290000000000006</c:v>
                </c:pt>
                <c:pt idx="534">
                  <c:v>65.31</c:v>
                </c:pt>
                <c:pt idx="535">
                  <c:v>65.31</c:v>
                </c:pt>
                <c:pt idx="536">
                  <c:v>65.319999999999993</c:v>
                </c:pt>
                <c:pt idx="537">
                  <c:v>65.3</c:v>
                </c:pt>
                <c:pt idx="538">
                  <c:v>65.3</c:v>
                </c:pt>
                <c:pt idx="539">
                  <c:v>65.33</c:v>
                </c:pt>
                <c:pt idx="540">
                  <c:v>65.319999999999993</c:v>
                </c:pt>
                <c:pt idx="541">
                  <c:v>65.260000000000005</c:v>
                </c:pt>
                <c:pt idx="542">
                  <c:v>65.28</c:v>
                </c:pt>
                <c:pt idx="543">
                  <c:v>65.27</c:v>
                </c:pt>
                <c:pt idx="544">
                  <c:v>65.25</c:v>
                </c:pt>
                <c:pt idx="545">
                  <c:v>65.290000000000006</c:v>
                </c:pt>
                <c:pt idx="546">
                  <c:v>65.27</c:v>
                </c:pt>
                <c:pt idx="547">
                  <c:v>65.27</c:v>
                </c:pt>
                <c:pt idx="548">
                  <c:v>65.25</c:v>
                </c:pt>
                <c:pt idx="549">
                  <c:v>65.260000000000005</c:v>
                </c:pt>
                <c:pt idx="550">
                  <c:v>65.31</c:v>
                </c:pt>
                <c:pt idx="551">
                  <c:v>65.290000000000006</c:v>
                </c:pt>
                <c:pt idx="552">
                  <c:v>65.290000000000006</c:v>
                </c:pt>
                <c:pt idx="553">
                  <c:v>65.28</c:v>
                </c:pt>
                <c:pt idx="554">
                  <c:v>65.260000000000005</c:v>
                </c:pt>
                <c:pt idx="555">
                  <c:v>65.25</c:v>
                </c:pt>
                <c:pt idx="556">
                  <c:v>65.23</c:v>
                </c:pt>
                <c:pt idx="557">
                  <c:v>65.27</c:v>
                </c:pt>
                <c:pt idx="558">
                  <c:v>65.23</c:v>
                </c:pt>
                <c:pt idx="559">
                  <c:v>65.239999999999995</c:v>
                </c:pt>
                <c:pt idx="560">
                  <c:v>65.239999999999995</c:v>
                </c:pt>
                <c:pt idx="561">
                  <c:v>65.260000000000005</c:v>
                </c:pt>
                <c:pt idx="562">
                  <c:v>65.23</c:v>
                </c:pt>
                <c:pt idx="563">
                  <c:v>65.260000000000005</c:v>
                </c:pt>
                <c:pt idx="564">
                  <c:v>65.25</c:v>
                </c:pt>
                <c:pt idx="565">
                  <c:v>65.260000000000005</c:v>
                </c:pt>
                <c:pt idx="566">
                  <c:v>65.23</c:v>
                </c:pt>
                <c:pt idx="567">
                  <c:v>65.27</c:v>
                </c:pt>
                <c:pt idx="568">
                  <c:v>65.209999999999994</c:v>
                </c:pt>
                <c:pt idx="569">
                  <c:v>65.239999999999995</c:v>
                </c:pt>
                <c:pt idx="570">
                  <c:v>65.290000000000006</c:v>
                </c:pt>
                <c:pt idx="571">
                  <c:v>65.22</c:v>
                </c:pt>
                <c:pt idx="572">
                  <c:v>65.239999999999995</c:v>
                </c:pt>
                <c:pt idx="573">
                  <c:v>65.239999999999995</c:v>
                </c:pt>
                <c:pt idx="574">
                  <c:v>65.260000000000005</c:v>
                </c:pt>
                <c:pt idx="575">
                  <c:v>65.239999999999995</c:v>
                </c:pt>
                <c:pt idx="576">
                  <c:v>65.25</c:v>
                </c:pt>
                <c:pt idx="577">
                  <c:v>65.25</c:v>
                </c:pt>
                <c:pt idx="578">
                  <c:v>65.239999999999995</c:v>
                </c:pt>
                <c:pt idx="579">
                  <c:v>65.25</c:v>
                </c:pt>
                <c:pt idx="580">
                  <c:v>65.239999999999995</c:v>
                </c:pt>
                <c:pt idx="581">
                  <c:v>65.22</c:v>
                </c:pt>
                <c:pt idx="582">
                  <c:v>65.239999999999995</c:v>
                </c:pt>
                <c:pt idx="583">
                  <c:v>65.25</c:v>
                </c:pt>
                <c:pt idx="584">
                  <c:v>65.25</c:v>
                </c:pt>
                <c:pt idx="585">
                  <c:v>65.209999999999994</c:v>
                </c:pt>
                <c:pt idx="586">
                  <c:v>65.290000000000006</c:v>
                </c:pt>
                <c:pt idx="587">
                  <c:v>65.209999999999994</c:v>
                </c:pt>
                <c:pt idx="588">
                  <c:v>65.27</c:v>
                </c:pt>
                <c:pt idx="589">
                  <c:v>65.22</c:v>
                </c:pt>
                <c:pt idx="590">
                  <c:v>65.25</c:v>
                </c:pt>
                <c:pt idx="591">
                  <c:v>65.3</c:v>
                </c:pt>
                <c:pt idx="592">
                  <c:v>65.27</c:v>
                </c:pt>
                <c:pt idx="593">
                  <c:v>65.27</c:v>
                </c:pt>
                <c:pt idx="594">
                  <c:v>65.27</c:v>
                </c:pt>
                <c:pt idx="595">
                  <c:v>65.27</c:v>
                </c:pt>
                <c:pt idx="596">
                  <c:v>65.27</c:v>
                </c:pt>
                <c:pt idx="597">
                  <c:v>65.28</c:v>
                </c:pt>
                <c:pt idx="598">
                  <c:v>65.290000000000006</c:v>
                </c:pt>
                <c:pt idx="599">
                  <c:v>65.27</c:v>
                </c:pt>
                <c:pt idx="600">
                  <c:v>65.3</c:v>
                </c:pt>
                <c:pt idx="601">
                  <c:v>65.25</c:v>
                </c:pt>
                <c:pt idx="602">
                  <c:v>65.290000000000006</c:v>
                </c:pt>
                <c:pt idx="603">
                  <c:v>65.290000000000006</c:v>
                </c:pt>
                <c:pt idx="604">
                  <c:v>65.25</c:v>
                </c:pt>
                <c:pt idx="605">
                  <c:v>65.290000000000006</c:v>
                </c:pt>
                <c:pt idx="606">
                  <c:v>65.28</c:v>
                </c:pt>
                <c:pt idx="607">
                  <c:v>65.290000000000006</c:v>
                </c:pt>
                <c:pt idx="608">
                  <c:v>65.25</c:v>
                </c:pt>
                <c:pt idx="609">
                  <c:v>65.31</c:v>
                </c:pt>
                <c:pt idx="610">
                  <c:v>65.28</c:v>
                </c:pt>
                <c:pt idx="611">
                  <c:v>65.27</c:v>
                </c:pt>
                <c:pt idx="612">
                  <c:v>65.27</c:v>
                </c:pt>
                <c:pt idx="613">
                  <c:v>65.260000000000005</c:v>
                </c:pt>
                <c:pt idx="614">
                  <c:v>65.239999999999995</c:v>
                </c:pt>
                <c:pt idx="615">
                  <c:v>65.28</c:v>
                </c:pt>
                <c:pt idx="616">
                  <c:v>65.23</c:v>
                </c:pt>
                <c:pt idx="617">
                  <c:v>65.25</c:v>
                </c:pt>
                <c:pt idx="618">
                  <c:v>65.28</c:v>
                </c:pt>
                <c:pt idx="619">
                  <c:v>65.260000000000005</c:v>
                </c:pt>
                <c:pt idx="620">
                  <c:v>65.239999999999995</c:v>
                </c:pt>
                <c:pt idx="621">
                  <c:v>65.25</c:v>
                </c:pt>
                <c:pt idx="622">
                  <c:v>65.28</c:v>
                </c:pt>
                <c:pt idx="623">
                  <c:v>65.25</c:v>
                </c:pt>
                <c:pt idx="624">
                  <c:v>65.290000000000006</c:v>
                </c:pt>
                <c:pt idx="625">
                  <c:v>65.27</c:v>
                </c:pt>
                <c:pt idx="626">
                  <c:v>65.27</c:v>
                </c:pt>
                <c:pt idx="627">
                  <c:v>65.25</c:v>
                </c:pt>
                <c:pt idx="628">
                  <c:v>65.27</c:v>
                </c:pt>
                <c:pt idx="629">
                  <c:v>65.23</c:v>
                </c:pt>
                <c:pt idx="630">
                  <c:v>65.23</c:v>
                </c:pt>
                <c:pt idx="631">
                  <c:v>65.27</c:v>
                </c:pt>
                <c:pt idx="632">
                  <c:v>65.25</c:v>
                </c:pt>
                <c:pt idx="633">
                  <c:v>65.260000000000005</c:v>
                </c:pt>
                <c:pt idx="634">
                  <c:v>65.25</c:v>
                </c:pt>
                <c:pt idx="635">
                  <c:v>65.3</c:v>
                </c:pt>
                <c:pt idx="636">
                  <c:v>65.290000000000006</c:v>
                </c:pt>
                <c:pt idx="637">
                  <c:v>65.27</c:v>
                </c:pt>
                <c:pt idx="638">
                  <c:v>65.239999999999995</c:v>
                </c:pt>
                <c:pt idx="639">
                  <c:v>65.260000000000005</c:v>
                </c:pt>
                <c:pt idx="640">
                  <c:v>65.239999999999995</c:v>
                </c:pt>
                <c:pt idx="641">
                  <c:v>65.23</c:v>
                </c:pt>
                <c:pt idx="642">
                  <c:v>65.25</c:v>
                </c:pt>
                <c:pt idx="643">
                  <c:v>65.260000000000005</c:v>
                </c:pt>
                <c:pt idx="644">
                  <c:v>65.260000000000005</c:v>
                </c:pt>
                <c:pt idx="645">
                  <c:v>65.2</c:v>
                </c:pt>
                <c:pt idx="646">
                  <c:v>65.27</c:v>
                </c:pt>
                <c:pt idx="647">
                  <c:v>65.2</c:v>
                </c:pt>
                <c:pt idx="648">
                  <c:v>65.23</c:v>
                </c:pt>
                <c:pt idx="649">
                  <c:v>65.209999999999994</c:v>
                </c:pt>
                <c:pt idx="650">
                  <c:v>65.25</c:v>
                </c:pt>
                <c:pt idx="651">
                  <c:v>65.239999999999995</c:v>
                </c:pt>
                <c:pt idx="652">
                  <c:v>65.25</c:v>
                </c:pt>
                <c:pt idx="653">
                  <c:v>65.209999999999994</c:v>
                </c:pt>
                <c:pt idx="654">
                  <c:v>65.260000000000005</c:v>
                </c:pt>
                <c:pt idx="655">
                  <c:v>65.25</c:v>
                </c:pt>
                <c:pt idx="656">
                  <c:v>65.25</c:v>
                </c:pt>
                <c:pt idx="657">
                  <c:v>65.27</c:v>
                </c:pt>
                <c:pt idx="658">
                  <c:v>65.22</c:v>
                </c:pt>
                <c:pt idx="659">
                  <c:v>65.260000000000005</c:v>
                </c:pt>
                <c:pt idx="660">
                  <c:v>65.260000000000005</c:v>
                </c:pt>
                <c:pt idx="661">
                  <c:v>65.27</c:v>
                </c:pt>
                <c:pt idx="662">
                  <c:v>65.239999999999995</c:v>
                </c:pt>
                <c:pt idx="663">
                  <c:v>65.25</c:v>
                </c:pt>
                <c:pt idx="664">
                  <c:v>65.23</c:v>
                </c:pt>
                <c:pt idx="665">
                  <c:v>65.290000000000006</c:v>
                </c:pt>
                <c:pt idx="666">
                  <c:v>65.319999999999993</c:v>
                </c:pt>
                <c:pt idx="667">
                  <c:v>65.33</c:v>
                </c:pt>
                <c:pt idx="668">
                  <c:v>65.33</c:v>
                </c:pt>
                <c:pt idx="669">
                  <c:v>65.400000000000006</c:v>
                </c:pt>
                <c:pt idx="670">
                  <c:v>65.41</c:v>
                </c:pt>
                <c:pt idx="671">
                  <c:v>65.540000000000006</c:v>
                </c:pt>
                <c:pt idx="672">
                  <c:v>65.66</c:v>
                </c:pt>
                <c:pt idx="673">
                  <c:v>65.8</c:v>
                </c:pt>
                <c:pt idx="674">
                  <c:v>65.94</c:v>
                </c:pt>
                <c:pt idx="675">
                  <c:v>66.12</c:v>
                </c:pt>
                <c:pt idx="676">
                  <c:v>66.31</c:v>
                </c:pt>
                <c:pt idx="677">
                  <c:v>66.5</c:v>
                </c:pt>
                <c:pt idx="678">
                  <c:v>66.72</c:v>
                </c:pt>
                <c:pt idx="679">
                  <c:v>66.94</c:v>
                </c:pt>
                <c:pt idx="680">
                  <c:v>67.16</c:v>
                </c:pt>
                <c:pt idx="681">
                  <c:v>67.37</c:v>
                </c:pt>
                <c:pt idx="682">
                  <c:v>67.569999999999993</c:v>
                </c:pt>
                <c:pt idx="683">
                  <c:v>67.78</c:v>
                </c:pt>
                <c:pt idx="684">
                  <c:v>68.05</c:v>
                </c:pt>
                <c:pt idx="685">
                  <c:v>68.27</c:v>
                </c:pt>
                <c:pt idx="686">
                  <c:v>68.5</c:v>
                </c:pt>
                <c:pt idx="687">
                  <c:v>68.7</c:v>
                </c:pt>
                <c:pt idx="688">
                  <c:v>68.95</c:v>
                </c:pt>
                <c:pt idx="689">
                  <c:v>69.17</c:v>
                </c:pt>
                <c:pt idx="690">
                  <c:v>69.349999999999994</c:v>
                </c:pt>
                <c:pt idx="691">
                  <c:v>69.61</c:v>
                </c:pt>
                <c:pt idx="692">
                  <c:v>69.739999999999995</c:v>
                </c:pt>
                <c:pt idx="693">
                  <c:v>70.010000000000005</c:v>
                </c:pt>
                <c:pt idx="694">
                  <c:v>70.17</c:v>
                </c:pt>
                <c:pt idx="695">
                  <c:v>70.36</c:v>
                </c:pt>
                <c:pt idx="696">
                  <c:v>70.540000000000006</c:v>
                </c:pt>
                <c:pt idx="697">
                  <c:v>70.709999999999994</c:v>
                </c:pt>
                <c:pt idx="698">
                  <c:v>70.87</c:v>
                </c:pt>
                <c:pt idx="699">
                  <c:v>71</c:v>
                </c:pt>
                <c:pt idx="700">
                  <c:v>71.17</c:v>
                </c:pt>
                <c:pt idx="701">
                  <c:v>71.25</c:v>
                </c:pt>
                <c:pt idx="702">
                  <c:v>71.42</c:v>
                </c:pt>
                <c:pt idx="703">
                  <c:v>71.56</c:v>
                </c:pt>
                <c:pt idx="704">
                  <c:v>71.64</c:v>
                </c:pt>
                <c:pt idx="705">
                  <c:v>71.77</c:v>
                </c:pt>
                <c:pt idx="706">
                  <c:v>71.91</c:v>
                </c:pt>
                <c:pt idx="707">
                  <c:v>72.02</c:v>
                </c:pt>
                <c:pt idx="708">
                  <c:v>72.180000000000007</c:v>
                </c:pt>
                <c:pt idx="709">
                  <c:v>72.319999999999993</c:v>
                </c:pt>
                <c:pt idx="710">
                  <c:v>72.45</c:v>
                </c:pt>
                <c:pt idx="711">
                  <c:v>72.56</c:v>
                </c:pt>
                <c:pt idx="712">
                  <c:v>72.69</c:v>
                </c:pt>
                <c:pt idx="713">
                  <c:v>72.83</c:v>
                </c:pt>
                <c:pt idx="714">
                  <c:v>72.930000000000007</c:v>
                </c:pt>
                <c:pt idx="715">
                  <c:v>73.069999999999993</c:v>
                </c:pt>
                <c:pt idx="716">
                  <c:v>73.19</c:v>
                </c:pt>
                <c:pt idx="717">
                  <c:v>73.28</c:v>
                </c:pt>
                <c:pt idx="718">
                  <c:v>73.41</c:v>
                </c:pt>
                <c:pt idx="719">
                  <c:v>73.53</c:v>
                </c:pt>
                <c:pt idx="720">
                  <c:v>73.62</c:v>
                </c:pt>
                <c:pt idx="721">
                  <c:v>73.73</c:v>
                </c:pt>
                <c:pt idx="722">
                  <c:v>73.819999999999993</c:v>
                </c:pt>
                <c:pt idx="723">
                  <c:v>73.88</c:v>
                </c:pt>
                <c:pt idx="724">
                  <c:v>74.02</c:v>
                </c:pt>
                <c:pt idx="725">
                  <c:v>74.13</c:v>
                </c:pt>
                <c:pt idx="726">
                  <c:v>74.19</c:v>
                </c:pt>
                <c:pt idx="727">
                  <c:v>74.31</c:v>
                </c:pt>
                <c:pt idx="728">
                  <c:v>74.42</c:v>
                </c:pt>
                <c:pt idx="729">
                  <c:v>74.489999999999995</c:v>
                </c:pt>
                <c:pt idx="730">
                  <c:v>74.62</c:v>
                </c:pt>
                <c:pt idx="731">
                  <c:v>74.69</c:v>
                </c:pt>
                <c:pt idx="732">
                  <c:v>74.790000000000006</c:v>
                </c:pt>
                <c:pt idx="733">
                  <c:v>74.86</c:v>
                </c:pt>
                <c:pt idx="734">
                  <c:v>74.959999999999994</c:v>
                </c:pt>
                <c:pt idx="735">
                  <c:v>75.040000000000006</c:v>
                </c:pt>
                <c:pt idx="736">
                  <c:v>75.12</c:v>
                </c:pt>
                <c:pt idx="737">
                  <c:v>75.17</c:v>
                </c:pt>
                <c:pt idx="738">
                  <c:v>75.3</c:v>
                </c:pt>
                <c:pt idx="739">
                  <c:v>75.37</c:v>
                </c:pt>
                <c:pt idx="740">
                  <c:v>75.44</c:v>
                </c:pt>
                <c:pt idx="741">
                  <c:v>75.569999999999993</c:v>
                </c:pt>
                <c:pt idx="742">
                  <c:v>75.62</c:v>
                </c:pt>
                <c:pt idx="743">
                  <c:v>75.709999999999994</c:v>
                </c:pt>
                <c:pt idx="744">
                  <c:v>75.790000000000006</c:v>
                </c:pt>
                <c:pt idx="745">
                  <c:v>75.89</c:v>
                </c:pt>
                <c:pt idx="746">
                  <c:v>75.98</c:v>
                </c:pt>
                <c:pt idx="747">
                  <c:v>76.06</c:v>
                </c:pt>
                <c:pt idx="748">
                  <c:v>76.12</c:v>
                </c:pt>
                <c:pt idx="749">
                  <c:v>76.209999999999994</c:v>
                </c:pt>
                <c:pt idx="750">
                  <c:v>76.31</c:v>
                </c:pt>
                <c:pt idx="751">
                  <c:v>76.34</c:v>
                </c:pt>
                <c:pt idx="752">
                  <c:v>76.44</c:v>
                </c:pt>
                <c:pt idx="753">
                  <c:v>76.489999999999995</c:v>
                </c:pt>
                <c:pt idx="754">
                  <c:v>76.599999999999994</c:v>
                </c:pt>
                <c:pt idx="755">
                  <c:v>76.680000000000007</c:v>
                </c:pt>
                <c:pt idx="756">
                  <c:v>76.69</c:v>
                </c:pt>
                <c:pt idx="757">
                  <c:v>76.83</c:v>
                </c:pt>
                <c:pt idx="758">
                  <c:v>76.89</c:v>
                </c:pt>
                <c:pt idx="759">
                  <c:v>76.959999999999994</c:v>
                </c:pt>
                <c:pt idx="760">
                  <c:v>77.02</c:v>
                </c:pt>
                <c:pt idx="761">
                  <c:v>77.12</c:v>
                </c:pt>
                <c:pt idx="762">
                  <c:v>77.16</c:v>
                </c:pt>
                <c:pt idx="763">
                  <c:v>77.27</c:v>
                </c:pt>
                <c:pt idx="764">
                  <c:v>77.33</c:v>
                </c:pt>
                <c:pt idx="765">
                  <c:v>77.41</c:v>
                </c:pt>
                <c:pt idx="766">
                  <c:v>77.45</c:v>
                </c:pt>
                <c:pt idx="767">
                  <c:v>77.540000000000006</c:v>
                </c:pt>
                <c:pt idx="768">
                  <c:v>77.63</c:v>
                </c:pt>
                <c:pt idx="769">
                  <c:v>77.66</c:v>
                </c:pt>
                <c:pt idx="770">
                  <c:v>77.75</c:v>
                </c:pt>
                <c:pt idx="771">
                  <c:v>77.849999999999994</c:v>
                </c:pt>
                <c:pt idx="772">
                  <c:v>77.95</c:v>
                </c:pt>
                <c:pt idx="773">
                  <c:v>78.02</c:v>
                </c:pt>
                <c:pt idx="774">
                  <c:v>78.099999999999994</c:v>
                </c:pt>
                <c:pt idx="775">
                  <c:v>78.14</c:v>
                </c:pt>
                <c:pt idx="776">
                  <c:v>78.25</c:v>
                </c:pt>
                <c:pt idx="777">
                  <c:v>78.37</c:v>
                </c:pt>
                <c:pt idx="778">
                  <c:v>78.430000000000007</c:v>
                </c:pt>
                <c:pt idx="779">
                  <c:v>78.540000000000006</c:v>
                </c:pt>
                <c:pt idx="780">
                  <c:v>78.62</c:v>
                </c:pt>
                <c:pt idx="781">
                  <c:v>78.709999999999994</c:v>
                </c:pt>
                <c:pt idx="782">
                  <c:v>78.78</c:v>
                </c:pt>
                <c:pt idx="783">
                  <c:v>78.930000000000007</c:v>
                </c:pt>
                <c:pt idx="784">
                  <c:v>78.989999999999995</c:v>
                </c:pt>
                <c:pt idx="785">
                  <c:v>79.09</c:v>
                </c:pt>
                <c:pt idx="786">
                  <c:v>79.180000000000007</c:v>
                </c:pt>
                <c:pt idx="787">
                  <c:v>79.239999999999995</c:v>
                </c:pt>
                <c:pt idx="788">
                  <c:v>79.349999999999994</c:v>
                </c:pt>
                <c:pt idx="789">
                  <c:v>79.430000000000007</c:v>
                </c:pt>
                <c:pt idx="790">
                  <c:v>79.489999999999995</c:v>
                </c:pt>
                <c:pt idx="791">
                  <c:v>79.62</c:v>
                </c:pt>
                <c:pt idx="792">
                  <c:v>79.72</c:v>
                </c:pt>
                <c:pt idx="793">
                  <c:v>79.78</c:v>
                </c:pt>
                <c:pt idx="794">
                  <c:v>79.87</c:v>
                </c:pt>
                <c:pt idx="795">
                  <c:v>79.95</c:v>
                </c:pt>
                <c:pt idx="796">
                  <c:v>80.03</c:v>
                </c:pt>
                <c:pt idx="797">
                  <c:v>80.180000000000007</c:v>
                </c:pt>
                <c:pt idx="798">
                  <c:v>80.239999999999995</c:v>
                </c:pt>
                <c:pt idx="799">
                  <c:v>80.319999999999993</c:v>
                </c:pt>
                <c:pt idx="800">
                  <c:v>80.37</c:v>
                </c:pt>
                <c:pt idx="801">
                  <c:v>80.489999999999995</c:v>
                </c:pt>
                <c:pt idx="802">
                  <c:v>80.5</c:v>
                </c:pt>
                <c:pt idx="803">
                  <c:v>80.55</c:v>
                </c:pt>
                <c:pt idx="804">
                  <c:v>80.61</c:v>
                </c:pt>
                <c:pt idx="805">
                  <c:v>80.650000000000006</c:v>
                </c:pt>
                <c:pt idx="806">
                  <c:v>80.62</c:v>
                </c:pt>
                <c:pt idx="807">
                  <c:v>80.64</c:v>
                </c:pt>
                <c:pt idx="808">
                  <c:v>80.63</c:v>
                </c:pt>
                <c:pt idx="809">
                  <c:v>80.599999999999994</c:v>
                </c:pt>
                <c:pt idx="810">
                  <c:v>80.540000000000006</c:v>
                </c:pt>
                <c:pt idx="811">
                  <c:v>80.510000000000005</c:v>
                </c:pt>
                <c:pt idx="812">
                  <c:v>80.430000000000007</c:v>
                </c:pt>
                <c:pt idx="813">
                  <c:v>80.319999999999993</c:v>
                </c:pt>
                <c:pt idx="814">
                  <c:v>80.3</c:v>
                </c:pt>
                <c:pt idx="815">
                  <c:v>80.180000000000007</c:v>
                </c:pt>
                <c:pt idx="816">
                  <c:v>80.14</c:v>
                </c:pt>
                <c:pt idx="817">
                  <c:v>80.099999999999994</c:v>
                </c:pt>
                <c:pt idx="818">
                  <c:v>80.010000000000005</c:v>
                </c:pt>
                <c:pt idx="819">
                  <c:v>79.959999999999994</c:v>
                </c:pt>
                <c:pt idx="820">
                  <c:v>79.86</c:v>
                </c:pt>
                <c:pt idx="821">
                  <c:v>79.88</c:v>
                </c:pt>
                <c:pt idx="822">
                  <c:v>79.86</c:v>
                </c:pt>
                <c:pt idx="823">
                  <c:v>79.84</c:v>
                </c:pt>
                <c:pt idx="824">
                  <c:v>79.83</c:v>
                </c:pt>
                <c:pt idx="825">
                  <c:v>79.78</c:v>
                </c:pt>
                <c:pt idx="826">
                  <c:v>79.86</c:v>
                </c:pt>
                <c:pt idx="827">
                  <c:v>79.84</c:v>
                </c:pt>
                <c:pt idx="828">
                  <c:v>79.89</c:v>
                </c:pt>
                <c:pt idx="829">
                  <c:v>79.94</c:v>
                </c:pt>
                <c:pt idx="830">
                  <c:v>79.989999999999995</c:v>
                </c:pt>
                <c:pt idx="831">
                  <c:v>80.040000000000006</c:v>
                </c:pt>
                <c:pt idx="832">
                  <c:v>80.099999999999994</c:v>
                </c:pt>
                <c:pt idx="833">
                  <c:v>80.17</c:v>
                </c:pt>
                <c:pt idx="834">
                  <c:v>80.19</c:v>
                </c:pt>
                <c:pt idx="835">
                  <c:v>80.28</c:v>
                </c:pt>
                <c:pt idx="836">
                  <c:v>80.3</c:v>
                </c:pt>
                <c:pt idx="837">
                  <c:v>80.34</c:v>
                </c:pt>
                <c:pt idx="838">
                  <c:v>80.38</c:v>
                </c:pt>
                <c:pt idx="839">
                  <c:v>80.41</c:v>
                </c:pt>
                <c:pt idx="840">
                  <c:v>80.400000000000006</c:v>
                </c:pt>
                <c:pt idx="841">
                  <c:v>80.459999999999994</c:v>
                </c:pt>
                <c:pt idx="842">
                  <c:v>80.5</c:v>
                </c:pt>
                <c:pt idx="843">
                  <c:v>80.489999999999995</c:v>
                </c:pt>
                <c:pt idx="844">
                  <c:v>80.52</c:v>
                </c:pt>
                <c:pt idx="845">
                  <c:v>80.52</c:v>
                </c:pt>
                <c:pt idx="846">
                  <c:v>80.459999999999994</c:v>
                </c:pt>
                <c:pt idx="847">
                  <c:v>80.47</c:v>
                </c:pt>
                <c:pt idx="848">
                  <c:v>80.430000000000007</c:v>
                </c:pt>
                <c:pt idx="849">
                  <c:v>80.41</c:v>
                </c:pt>
                <c:pt idx="850">
                  <c:v>80.39</c:v>
                </c:pt>
                <c:pt idx="851">
                  <c:v>80.33</c:v>
                </c:pt>
                <c:pt idx="852">
                  <c:v>80.260000000000005</c:v>
                </c:pt>
                <c:pt idx="853">
                  <c:v>80.27</c:v>
                </c:pt>
                <c:pt idx="854">
                  <c:v>80.22</c:v>
                </c:pt>
                <c:pt idx="855">
                  <c:v>80.209999999999994</c:v>
                </c:pt>
                <c:pt idx="856">
                  <c:v>80.13</c:v>
                </c:pt>
                <c:pt idx="857">
                  <c:v>80.11</c:v>
                </c:pt>
                <c:pt idx="858">
                  <c:v>80.099999999999994</c:v>
                </c:pt>
                <c:pt idx="859">
                  <c:v>80.040000000000006</c:v>
                </c:pt>
                <c:pt idx="860">
                  <c:v>80.069999999999993</c:v>
                </c:pt>
                <c:pt idx="861">
                  <c:v>80.02</c:v>
                </c:pt>
                <c:pt idx="862">
                  <c:v>80.06</c:v>
                </c:pt>
                <c:pt idx="863">
                  <c:v>80.040000000000006</c:v>
                </c:pt>
                <c:pt idx="864">
                  <c:v>80.03</c:v>
                </c:pt>
                <c:pt idx="865">
                  <c:v>80.040000000000006</c:v>
                </c:pt>
                <c:pt idx="866">
                  <c:v>80.06</c:v>
                </c:pt>
                <c:pt idx="867">
                  <c:v>80.11</c:v>
                </c:pt>
                <c:pt idx="868">
                  <c:v>80.11</c:v>
                </c:pt>
                <c:pt idx="869">
                  <c:v>80.16</c:v>
                </c:pt>
                <c:pt idx="870">
                  <c:v>80.13</c:v>
                </c:pt>
                <c:pt idx="871">
                  <c:v>80.14</c:v>
                </c:pt>
                <c:pt idx="872">
                  <c:v>80.25</c:v>
                </c:pt>
                <c:pt idx="873">
                  <c:v>80.23</c:v>
                </c:pt>
                <c:pt idx="874">
                  <c:v>80.239999999999995</c:v>
                </c:pt>
                <c:pt idx="875">
                  <c:v>80.33</c:v>
                </c:pt>
                <c:pt idx="876">
                  <c:v>80.349999999999994</c:v>
                </c:pt>
                <c:pt idx="877">
                  <c:v>80.349999999999994</c:v>
                </c:pt>
                <c:pt idx="878">
                  <c:v>80.36</c:v>
                </c:pt>
                <c:pt idx="879">
                  <c:v>80.37</c:v>
                </c:pt>
                <c:pt idx="880">
                  <c:v>80.37</c:v>
                </c:pt>
                <c:pt idx="881">
                  <c:v>80.430000000000007</c:v>
                </c:pt>
                <c:pt idx="882">
                  <c:v>80.42</c:v>
                </c:pt>
                <c:pt idx="883">
                  <c:v>80.39</c:v>
                </c:pt>
                <c:pt idx="884">
                  <c:v>80.37</c:v>
                </c:pt>
                <c:pt idx="885">
                  <c:v>80.349999999999994</c:v>
                </c:pt>
                <c:pt idx="886">
                  <c:v>80.34</c:v>
                </c:pt>
                <c:pt idx="887">
                  <c:v>80.31</c:v>
                </c:pt>
                <c:pt idx="888">
                  <c:v>80.319999999999993</c:v>
                </c:pt>
                <c:pt idx="889">
                  <c:v>80.25</c:v>
                </c:pt>
                <c:pt idx="890">
                  <c:v>80.22</c:v>
                </c:pt>
                <c:pt idx="891">
                  <c:v>80.260000000000005</c:v>
                </c:pt>
                <c:pt idx="892">
                  <c:v>80.239999999999995</c:v>
                </c:pt>
                <c:pt idx="893">
                  <c:v>80.22</c:v>
                </c:pt>
                <c:pt idx="894">
                  <c:v>80.180000000000007</c:v>
                </c:pt>
                <c:pt idx="895">
                  <c:v>80.16</c:v>
                </c:pt>
                <c:pt idx="896">
                  <c:v>80.19</c:v>
                </c:pt>
                <c:pt idx="897">
                  <c:v>80.11</c:v>
                </c:pt>
                <c:pt idx="898">
                  <c:v>80.13</c:v>
                </c:pt>
                <c:pt idx="899">
                  <c:v>80.09</c:v>
                </c:pt>
                <c:pt idx="900">
                  <c:v>80.14</c:v>
                </c:pt>
                <c:pt idx="901">
                  <c:v>80.12</c:v>
                </c:pt>
                <c:pt idx="902">
                  <c:v>80.16</c:v>
                </c:pt>
                <c:pt idx="903">
                  <c:v>80.14</c:v>
                </c:pt>
                <c:pt idx="904">
                  <c:v>80.19</c:v>
                </c:pt>
                <c:pt idx="905">
                  <c:v>80.2</c:v>
                </c:pt>
                <c:pt idx="906">
                  <c:v>80.2</c:v>
                </c:pt>
                <c:pt idx="907">
                  <c:v>80.25</c:v>
                </c:pt>
                <c:pt idx="908">
                  <c:v>80.209999999999994</c:v>
                </c:pt>
                <c:pt idx="909">
                  <c:v>80.25</c:v>
                </c:pt>
                <c:pt idx="910">
                  <c:v>80.239999999999995</c:v>
                </c:pt>
                <c:pt idx="911">
                  <c:v>80.25</c:v>
                </c:pt>
                <c:pt idx="912">
                  <c:v>80.28</c:v>
                </c:pt>
                <c:pt idx="913">
                  <c:v>80.27</c:v>
                </c:pt>
                <c:pt idx="914">
                  <c:v>80.319999999999993</c:v>
                </c:pt>
                <c:pt idx="915">
                  <c:v>80.33</c:v>
                </c:pt>
                <c:pt idx="916">
                  <c:v>80.3</c:v>
                </c:pt>
                <c:pt idx="917">
                  <c:v>80.349999999999994</c:v>
                </c:pt>
                <c:pt idx="918">
                  <c:v>80.36</c:v>
                </c:pt>
                <c:pt idx="919">
                  <c:v>80.349999999999994</c:v>
                </c:pt>
                <c:pt idx="920">
                  <c:v>80.36</c:v>
                </c:pt>
                <c:pt idx="921">
                  <c:v>80.349999999999994</c:v>
                </c:pt>
                <c:pt idx="922">
                  <c:v>80.3</c:v>
                </c:pt>
                <c:pt idx="923">
                  <c:v>80.3</c:v>
                </c:pt>
                <c:pt idx="924">
                  <c:v>80.319999999999993</c:v>
                </c:pt>
                <c:pt idx="925">
                  <c:v>80.3</c:v>
                </c:pt>
                <c:pt idx="926">
                  <c:v>80.28</c:v>
                </c:pt>
                <c:pt idx="927">
                  <c:v>80.260000000000005</c:v>
                </c:pt>
                <c:pt idx="928">
                  <c:v>80.25</c:v>
                </c:pt>
                <c:pt idx="929">
                  <c:v>80.239999999999995</c:v>
                </c:pt>
                <c:pt idx="930">
                  <c:v>80.2</c:v>
                </c:pt>
                <c:pt idx="931">
                  <c:v>80.209999999999994</c:v>
                </c:pt>
                <c:pt idx="932">
                  <c:v>80.19</c:v>
                </c:pt>
                <c:pt idx="933">
                  <c:v>80.209999999999994</c:v>
                </c:pt>
                <c:pt idx="934">
                  <c:v>80.2</c:v>
                </c:pt>
                <c:pt idx="935">
                  <c:v>80.150000000000006</c:v>
                </c:pt>
                <c:pt idx="936">
                  <c:v>80.16</c:v>
                </c:pt>
                <c:pt idx="937">
                  <c:v>80.17</c:v>
                </c:pt>
                <c:pt idx="938">
                  <c:v>80.17</c:v>
                </c:pt>
                <c:pt idx="939">
                  <c:v>80.180000000000007</c:v>
                </c:pt>
                <c:pt idx="940">
                  <c:v>80.19</c:v>
                </c:pt>
                <c:pt idx="941">
                  <c:v>80.13</c:v>
                </c:pt>
                <c:pt idx="942">
                  <c:v>80.17</c:v>
                </c:pt>
                <c:pt idx="943">
                  <c:v>80.16</c:v>
                </c:pt>
                <c:pt idx="944">
                  <c:v>80.180000000000007</c:v>
                </c:pt>
                <c:pt idx="945">
                  <c:v>80.19</c:v>
                </c:pt>
                <c:pt idx="946">
                  <c:v>80.23</c:v>
                </c:pt>
                <c:pt idx="947">
                  <c:v>80.180000000000007</c:v>
                </c:pt>
                <c:pt idx="948">
                  <c:v>80.19</c:v>
                </c:pt>
                <c:pt idx="949">
                  <c:v>80.260000000000005</c:v>
                </c:pt>
                <c:pt idx="950">
                  <c:v>80.260000000000005</c:v>
                </c:pt>
                <c:pt idx="951">
                  <c:v>80.28</c:v>
                </c:pt>
                <c:pt idx="952">
                  <c:v>80.260000000000005</c:v>
                </c:pt>
                <c:pt idx="953">
                  <c:v>80.31</c:v>
                </c:pt>
                <c:pt idx="954">
                  <c:v>80.25</c:v>
                </c:pt>
                <c:pt idx="955">
                  <c:v>80.34</c:v>
                </c:pt>
                <c:pt idx="956">
                  <c:v>80.28</c:v>
                </c:pt>
                <c:pt idx="957">
                  <c:v>80.319999999999993</c:v>
                </c:pt>
                <c:pt idx="958">
                  <c:v>80.3</c:v>
                </c:pt>
                <c:pt idx="959">
                  <c:v>80.34</c:v>
                </c:pt>
                <c:pt idx="960">
                  <c:v>80.319999999999993</c:v>
                </c:pt>
                <c:pt idx="961">
                  <c:v>80.31</c:v>
                </c:pt>
                <c:pt idx="962">
                  <c:v>80.34</c:v>
                </c:pt>
                <c:pt idx="963">
                  <c:v>80.319999999999993</c:v>
                </c:pt>
                <c:pt idx="964">
                  <c:v>80.319999999999993</c:v>
                </c:pt>
                <c:pt idx="965">
                  <c:v>80.260000000000005</c:v>
                </c:pt>
                <c:pt idx="966">
                  <c:v>80.25</c:v>
                </c:pt>
                <c:pt idx="967">
                  <c:v>80.260000000000005</c:v>
                </c:pt>
                <c:pt idx="968">
                  <c:v>80.260000000000005</c:v>
                </c:pt>
                <c:pt idx="969">
                  <c:v>80.260000000000005</c:v>
                </c:pt>
                <c:pt idx="970">
                  <c:v>80.260000000000005</c:v>
                </c:pt>
                <c:pt idx="971">
                  <c:v>80.260000000000005</c:v>
                </c:pt>
                <c:pt idx="972">
                  <c:v>80.260000000000005</c:v>
                </c:pt>
                <c:pt idx="973">
                  <c:v>80.260000000000005</c:v>
                </c:pt>
                <c:pt idx="974">
                  <c:v>80.260000000000005</c:v>
                </c:pt>
                <c:pt idx="975">
                  <c:v>80.27</c:v>
                </c:pt>
                <c:pt idx="976">
                  <c:v>80.28</c:v>
                </c:pt>
                <c:pt idx="977">
                  <c:v>80.290000000000006</c:v>
                </c:pt>
                <c:pt idx="978">
                  <c:v>80.28</c:v>
                </c:pt>
                <c:pt idx="979">
                  <c:v>80.27</c:v>
                </c:pt>
                <c:pt idx="980">
                  <c:v>80.27</c:v>
                </c:pt>
                <c:pt idx="981">
                  <c:v>80.27</c:v>
                </c:pt>
                <c:pt idx="982">
                  <c:v>80.28</c:v>
                </c:pt>
                <c:pt idx="983">
                  <c:v>80.27</c:v>
                </c:pt>
                <c:pt idx="984">
                  <c:v>80.239999999999995</c:v>
                </c:pt>
                <c:pt idx="985">
                  <c:v>80.28</c:v>
                </c:pt>
                <c:pt idx="986">
                  <c:v>80.3</c:v>
                </c:pt>
                <c:pt idx="987">
                  <c:v>80.25</c:v>
                </c:pt>
                <c:pt idx="988">
                  <c:v>80.260000000000005</c:v>
                </c:pt>
                <c:pt idx="989">
                  <c:v>80.290000000000006</c:v>
                </c:pt>
                <c:pt idx="990">
                  <c:v>80.23</c:v>
                </c:pt>
                <c:pt idx="991">
                  <c:v>80.28</c:v>
                </c:pt>
                <c:pt idx="992">
                  <c:v>80.180000000000007</c:v>
                </c:pt>
                <c:pt idx="993">
                  <c:v>80.23</c:v>
                </c:pt>
                <c:pt idx="994">
                  <c:v>80.290000000000006</c:v>
                </c:pt>
                <c:pt idx="995">
                  <c:v>80.11</c:v>
                </c:pt>
                <c:pt idx="996">
                  <c:v>80.25</c:v>
                </c:pt>
                <c:pt idx="997">
                  <c:v>80.02</c:v>
                </c:pt>
                <c:pt idx="998">
                  <c:v>80.27</c:v>
                </c:pt>
                <c:pt idx="999">
                  <c:v>80.11</c:v>
                </c:pt>
                <c:pt idx="1000">
                  <c:v>80.319999999999993</c:v>
                </c:pt>
                <c:pt idx="1001">
                  <c:v>80.06</c:v>
                </c:pt>
                <c:pt idx="1002">
                  <c:v>80.31</c:v>
                </c:pt>
                <c:pt idx="1003">
                  <c:v>80.09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DC4-4A9E-BEDE-FE3670CE0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624175"/>
        <c:axId val="433638095"/>
      </c:scatterChart>
      <c:valAx>
        <c:axId val="433624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638095"/>
        <c:crosses val="autoZero"/>
        <c:crossBetween val="midCat"/>
      </c:valAx>
      <c:valAx>
        <c:axId val="43363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6241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179070</xdr:rowOff>
    </xdr:from>
    <xdr:to>
      <xdr:col>15</xdr:col>
      <xdr:colOff>398319</xdr:colOff>
      <xdr:row>16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AD7734-B5A5-155C-05BA-F89BE118C1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205740</xdr:colOff>
      <xdr:row>0</xdr:row>
      <xdr:rowOff>194310</xdr:rowOff>
    </xdr:from>
    <xdr:to>
      <xdr:col>29</xdr:col>
      <xdr:colOff>510540</xdr:colOff>
      <xdr:row>13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5762CA-61BE-7CAA-9D4B-FBCE93998F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405246</xdr:colOff>
      <xdr:row>11</xdr:row>
      <xdr:rowOff>86592</xdr:rowOff>
    </xdr:from>
    <xdr:to>
      <xdr:col>47</xdr:col>
      <xdr:colOff>100446</xdr:colOff>
      <xdr:row>24</xdr:row>
      <xdr:rowOff>3465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B3788A1-7C1B-47D7-9CD0-FB43B81D56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51</xdr:col>
      <xdr:colOff>384464</xdr:colOff>
      <xdr:row>8</xdr:row>
      <xdr:rowOff>211281</xdr:rowOff>
    </xdr:from>
    <xdr:to>
      <xdr:col>59</xdr:col>
      <xdr:colOff>79664</xdr:colOff>
      <xdr:row>21</xdr:row>
      <xdr:rowOff>100444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6CBED42-04DF-1107-E5C8-A20D106629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39</xdr:col>
      <xdr:colOff>550718</xdr:colOff>
      <xdr:row>24</xdr:row>
      <xdr:rowOff>58881</xdr:rowOff>
    </xdr:from>
    <xdr:to>
      <xdr:col>47</xdr:col>
      <xdr:colOff>245918</xdr:colOff>
      <xdr:row>36</xdr:row>
      <xdr:rowOff>183572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3B99F52-4218-9195-1E22-32E98BBED0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61</xdr:col>
      <xdr:colOff>571499</xdr:colOff>
      <xdr:row>6</xdr:row>
      <xdr:rowOff>208085</xdr:rowOff>
    </xdr:from>
    <xdr:to>
      <xdr:col>69</xdr:col>
      <xdr:colOff>266699</xdr:colOff>
      <xdr:row>19</xdr:row>
      <xdr:rowOff>102578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BD176DF-59BD-27C4-11A5-3389D0601F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1005</xdr:row>
      <xdr:rowOff>243830</xdr:rowOff>
    </xdr:from>
    <xdr:to>
      <xdr:col>12</xdr:col>
      <xdr:colOff>0</xdr:colOff>
      <xdr:row>1006</xdr:row>
      <xdr:rowOff>243820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0975AB9-824D-9354-446A-9C540033670B}"/>
            </a:ext>
          </a:extLst>
        </xdr:cNvPr>
        <xdr:cNvSpPr/>
      </xdr:nvSpPr>
      <xdr:spPr>
        <a:xfrm>
          <a:off x="8404860" y="245645930"/>
          <a:ext cx="609600" cy="243830"/>
        </a:xfrm>
        <a:prstGeom prst="rect">
          <a:avLst/>
        </a:prstGeom>
        <a:solidFill>
          <a:srgbClr val="FFFFFF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>
              <a:solidFill>
                <a:srgbClr val="000000"/>
              </a:solidFill>
            </a:rPr>
            <a:t>◀ Newest</a:t>
          </a:r>
        </a:p>
      </xdr:txBody>
    </xdr:sp>
    <xdr:clientData/>
  </xdr:twoCellAnchor>
  <xdr:twoCellAnchor>
    <xdr:from>
      <xdr:col>3</xdr:col>
      <xdr:colOff>647699</xdr:colOff>
      <xdr:row>1</xdr:row>
      <xdr:rowOff>161193</xdr:rowOff>
    </xdr:from>
    <xdr:to>
      <xdr:col>11</xdr:col>
      <xdr:colOff>937845</xdr:colOff>
      <xdr:row>11</xdr:row>
      <xdr:rowOff>222738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9AD6F64-8C34-41F9-6576-08B901D841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AA7D0B-4E2A-4988-A95B-7D35B5669FBC}" name="TBL_CUR" displayName="TBL_CUR" ref="A4:K5" totalsRowShown="0" headerRowDxfId="25" dataDxfId="24">
  <autoFilter ref="A4:K5" xr:uid="{96AA7D0B-4E2A-4988-A95B-7D35B5669FB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B0C33AA-B7C2-465E-8CC6-1ABD9829DF00}" name="TIME" dataDxfId="23"/>
    <tableColumn id="2" xr3:uid="{6781E21B-C7A8-43A6-A045-558E45661174}" name="CH1" dataDxfId="22"/>
    <tableColumn id="3" xr3:uid="{BB56964F-F12B-4D3E-A132-ABFBDD272C4E}" name="CH2" dataDxfId="21"/>
    <tableColumn id="4" xr3:uid="{ECC26E3F-ABAD-402F-A183-971011EEB65B}" name="CH3" dataDxfId="20"/>
    <tableColumn id="5" xr3:uid="{51998614-8995-4974-B02C-FF7CAB58A990}" name="CH4" dataDxfId="19"/>
    <tableColumn id="6" xr3:uid="{3CE79D0B-9885-46A1-B9B4-A1B8AF736669}" name="CH5" dataDxfId="18"/>
    <tableColumn id="7" xr3:uid="{22C0B112-DCFD-4271-A599-9687C4A0C74D}" name="CH6" dataDxfId="17"/>
    <tableColumn id="8" xr3:uid="{3AD0E0C2-2E3A-4AA0-B831-9DC76E3B053C}" name="CH7" dataDxfId="16"/>
    <tableColumn id="9" xr3:uid="{D4ABD407-C9CD-4FFF-8F13-F6F5A2E912F0}" name="CH8" dataDxfId="15"/>
    <tableColumn id="10" xr3:uid="{03C67CF4-A4CE-4B71-9370-D80A6FA61CC9}" name="CH9" dataDxfId="14"/>
    <tableColumn id="11" xr3:uid="{9B065F00-F330-42EB-B27C-969F8EE31301}" name="CH10" dataDxfId="13"/>
  </tableColumns>
  <tableStyleInfo name="Invisi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4829B7-C203-4EAA-BBCB-F5DBCB30E9F5}" name="TBL_HST" displayName="TBL_HST" ref="A7:K1007" totalsRowShown="0" headerRowDxfId="12" dataDxfId="11">
  <autoFilter ref="A7:K1007" xr:uid="{D24829B7-C203-4EAA-BBCB-F5DBCB30E9F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2E9978F1-C068-400F-ACC5-03DAF9803FF7}" name="TIME" dataDxfId="10"/>
    <tableColumn id="2" xr3:uid="{3B4595F5-F40A-4FEA-8519-91CD6BF526BF}" name="CH1" dataDxfId="9"/>
    <tableColumn id="3" xr3:uid="{1CB20277-555F-4015-A5CC-43967B24EBCC}" name="CH2" dataDxfId="8"/>
    <tableColumn id="4" xr3:uid="{596721A4-2A64-4F52-B7EC-CF4EE0917528}" name="CH3" dataDxfId="7"/>
    <tableColumn id="5" xr3:uid="{AFD05D61-2664-4815-8D4D-3CDE4448621B}" name="CH4" dataDxfId="6"/>
    <tableColumn id="6" xr3:uid="{78EA6217-CA9B-4087-AA41-80A7675198A3}" name="CH5" dataDxfId="5"/>
    <tableColumn id="7" xr3:uid="{24095D3E-E0E9-4C3F-95F4-E32F07B4DA91}" name="CH6" dataDxfId="4"/>
    <tableColumn id="8" xr3:uid="{DCD5ADFF-8236-4AC9-B6E9-4413231E70DC}" name="CH7" dataDxfId="3"/>
    <tableColumn id="9" xr3:uid="{11152B85-6E8F-4146-8137-393C817D3968}" name="CH8" dataDxfId="2"/>
    <tableColumn id="10" xr3:uid="{A641C353-A913-4CF5-8D2A-CC49BE872095}" name="CH9" dataDxfId="1"/>
    <tableColumn id="11" xr3:uid="{4B378862-43BD-4CAD-BC75-97BF747DF308}" name="CH10" dataDxfId="0"/>
  </tableColumns>
  <tableStyleInfo name="Invisi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CAACB-9402-474B-8E97-D5309AF59F5E}">
  <dimension ref="A1:BQ1002"/>
  <sheetViews>
    <sheetView tabSelected="1" topLeftCell="AS5" zoomScale="130" zoomScaleNormal="130" workbookViewId="0">
      <selection activeCell="BC5" sqref="BC5"/>
    </sheetView>
  </sheetViews>
  <sheetFormatPr defaultRowHeight="14.4" x14ac:dyDescent="0.3"/>
  <cols>
    <col min="2" max="5" width="9" bestFit="1" customWidth="1"/>
    <col min="6" max="6" width="9.88671875" bestFit="1" customWidth="1"/>
    <col min="10" max="10" width="9.109375" customWidth="1"/>
    <col min="17" max="21" width="9.109375" bestFit="1" customWidth="1"/>
    <col min="22" max="22" width="9.88671875" bestFit="1" customWidth="1"/>
    <col min="27" max="27" width="9.5546875" customWidth="1"/>
    <col min="28" max="28" width="10.77734375" customWidth="1"/>
  </cols>
  <sheetData>
    <row r="1" spans="1:69" ht="17.399999999999999" thickBot="1" x14ac:dyDescent="0.3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Q1" s="19" t="s">
        <v>36</v>
      </c>
      <c r="R1" s="19" t="s">
        <v>38</v>
      </c>
      <c r="S1" s="19" t="s">
        <v>37</v>
      </c>
      <c r="T1" s="19" t="s">
        <v>39</v>
      </c>
      <c r="U1" s="19" t="s">
        <v>40</v>
      </c>
      <c r="V1" s="19" t="s">
        <v>41</v>
      </c>
      <c r="AK1" s="52"/>
      <c r="AL1" s="58" t="s">
        <v>58</v>
      </c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9"/>
      <c r="BI1" s="54" t="s">
        <v>62</v>
      </c>
    </row>
    <row r="2" spans="1:69" ht="17.399999999999999" thickBot="1" x14ac:dyDescent="0.35">
      <c r="A2" s="19">
        <v>0.2</v>
      </c>
      <c r="B2" s="19">
        <v>34.799999999999997</v>
      </c>
      <c r="C2" s="19">
        <v>50</v>
      </c>
      <c r="D2" s="19">
        <v>15.2</v>
      </c>
      <c r="E2" s="19">
        <v>-0.5</v>
      </c>
      <c r="F2" s="19">
        <v>2379.4899999999998</v>
      </c>
      <c r="Q2" s="19">
        <v>0.1</v>
      </c>
      <c r="R2" s="19">
        <v>50</v>
      </c>
      <c r="S2" s="19">
        <v>29.6</v>
      </c>
      <c r="T2" s="19">
        <v>20.399999999999999</v>
      </c>
      <c r="U2" s="19">
        <v>0.04</v>
      </c>
      <c r="V2" s="19">
        <v>3439.23</v>
      </c>
      <c r="AK2" s="53"/>
      <c r="AL2" s="60" t="s">
        <v>59</v>
      </c>
      <c r="AM2" s="61"/>
      <c r="AN2" s="58" t="s">
        <v>60</v>
      </c>
      <c r="AO2" s="59"/>
      <c r="AP2" s="58" t="s">
        <v>61</v>
      </c>
      <c r="AQ2" s="59"/>
      <c r="AR2" s="58" t="s">
        <v>44</v>
      </c>
      <c r="AS2" s="59"/>
      <c r="AT2" s="58" t="s">
        <v>45</v>
      </c>
      <c r="AU2" s="59"/>
      <c r="AV2" s="58" t="s">
        <v>46</v>
      </c>
      <c r="AW2" s="59"/>
      <c r="BI2" s="56">
        <v>50</v>
      </c>
      <c r="BL2" s="58" t="s">
        <v>44</v>
      </c>
      <c r="BM2" s="59"/>
      <c r="BN2" s="58" t="s">
        <v>45</v>
      </c>
      <c r="BO2" s="59"/>
      <c r="BP2" s="58" t="s">
        <v>46</v>
      </c>
      <c r="BQ2" s="59"/>
    </row>
    <row r="3" spans="1:69" ht="17.399999999999999" thickBot="1" x14ac:dyDescent="0.35">
      <c r="A3" s="20">
        <v>0.3</v>
      </c>
      <c r="B3" s="20">
        <v>34.79</v>
      </c>
      <c r="C3" s="20">
        <v>50</v>
      </c>
      <c r="D3" s="20">
        <v>15.21</v>
      </c>
      <c r="E3" s="20">
        <v>0</v>
      </c>
      <c r="F3" s="20">
        <v>2422.12</v>
      </c>
      <c r="Q3" s="19">
        <v>0.2</v>
      </c>
      <c r="R3" s="19">
        <v>50</v>
      </c>
      <c r="S3" s="19">
        <v>29.6</v>
      </c>
      <c r="T3" s="19">
        <v>20.399999999999999</v>
      </c>
      <c r="U3" s="19">
        <v>0.04</v>
      </c>
      <c r="V3" s="19">
        <v>3439.23</v>
      </c>
      <c r="AK3" s="54" t="s">
        <v>62</v>
      </c>
      <c r="AL3" s="53" t="s">
        <v>63</v>
      </c>
      <c r="AM3" s="55" t="s">
        <v>64</v>
      </c>
      <c r="AN3" s="53" t="s">
        <v>63</v>
      </c>
      <c r="AO3" s="55" t="s">
        <v>64</v>
      </c>
      <c r="AP3" s="53" t="s">
        <v>63</v>
      </c>
      <c r="AQ3" s="55" t="s">
        <v>64</v>
      </c>
      <c r="AR3" s="53" t="s">
        <v>63</v>
      </c>
      <c r="AS3" s="55" t="s">
        <v>64</v>
      </c>
      <c r="AT3" s="53" t="s">
        <v>63</v>
      </c>
      <c r="AU3" s="55" t="s">
        <v>64</v>
      </c>
      <c r="AV3" s="53" t="s">
        <v>63</v>
      </c>
      <c r="AW3" s="55" t="s">
        <v>64</v>
      </c>
      <c r="BI3" s="56">
        <v>65</v>
      </c>
      <c r="BK3" s="54" t="s">
        <v>62</v>
      </c>
      <c r="BL3" s="53" t="s">
        <v>63</v>
      </c>
      <c r="BM3" s="55" t="s">
        <v>64</v>
      </c>
      <c r="BN3" s="53" t="s">
        <v>63</v>
      </c>
      <c r="BO3" s="55" t="s">
        <v>64</v>
      </c>
      <c r="BP3" s="53" t="s">
        <v>63</v>
      </c>
      <c r="BQ3" s="55" t="s">
        <v>64</v>
      </c>
    </row>
    <row r="4" spans="1:69" ht="17.399999999999999" thickBot="1" x14ac:dyDescent="0.35">
      <c r="A4" s="20">
        <v>0.4</v>
      </c>
      <c r="B4" s="20">
        <v>34.840000000000003</v>
      </c>
      <c r="C4" s="20">
        <v>50</v>
      </c>
      <c r="D4" s="20">
        <v>15.16</v>
      </c>
      <c r="E4" s="20">
        <v>-0.05</v>
      </c>
      <c r="F4" s="20">
        <v>2445.5100000000002</v>
      </c>
      <c r="Q4" s="20">
        <v>0.3</v>
      </c>
      <c r="R4" s="20">
        <v>50</v>
      </c>
      <c r="S4" s="20">
        <v>29.77</v>
      </c>
      <c r="T4" s="20">
        <v>20.23</v>
      </c>
      <c r="U4" s="20">
        <v>-0.17</v>
      </c>
      <c r="V4" s="20">
        <v>3408.93</v>
      </c>
      <c r="AK4" s="56">
        <v>50</v>
      </c>
      <c r="AL4" s="53">
        <v>4.9000000000000004</v>
      </c>
      <c r="AM4" s="55">
        <v>2</v>
      </c>
      <c r="AN4" s="53">
        <v>1.18</v>
      </c>
      <c r="AO4" s="55">
        <v>4.0599999999999996</v>
      </c>
      <c r="AP4" s="53">
        <v>1E-3</v>
      </c>
      <c r="AQ4" s="55">
        <v>0.92</v>
      </c>
      <c r="AR4" s="62">
        <v>170.74</v>
      </c>
      <c r="AS4" s="65">
        <v>208809</v>
      </c>
      <c r="AT4" s="68">
        <v>1364.76</v>
      </c>
      <c r="AU4" s="71">
        <v>2076.11</v>
      </c>
      <c r="AV4" s="68">
        <v>6785.91</v>
      </c>
      <c r="AW4" s="71">
        <v>8604.93</v>
      </c>
      <c r="BI4" s="56">
        <v>80</v>
      </c>
      <c r="BK4" s="56">
        <v>50</v>
      </c>
      <c r="BL4" s="62">
        <v>170.74</v>
      </c>
      <c r="BM4" s="65">
        <v>208</v>
      </c>
      <c r="BN4" s="68">
        <v>1364.76</v>
      </c>
      <c r="BO4" s="71">
        <v>2076.11</v>
      </c>
      <c r="BP4" s="68">
        <v>6785.91</v>
      </c>
      <c r="BQ4" s="71">
        <v>8604.93</v>
      </c>
    </row>
    <row r="5" spans="1:69" ht="17.399999999999999" thickBot="1" x14ac:dyDescent="0.35">
      <c r="A5" s="20">
        <v>0.5</v>
      </c>
      <c r="B5" s="20">
        <v>34.880000000000003</v>
      </c>
      <c r="C5" s="20">
        <v>50</v>
      </c>
      <c r="D5" s="20">
        <v>15.12</v>
      </c>
      <c r="E5" s="20">
        <v>-0.04</v>
      </c>
      <c r="F5" s="20">
        <v>2471.9699999999998</v>
      </c>
      <c r="Q5" s="20">
        <v>0.4</v>
      </c>
      <c r="R5" s="20">
        <v>50</v>
      </c>
      <c r="S5" s="20">
        <v>29.81</v>
      </c>
      <c r="T5" s="20">
        <v>20.190000000000001</v>
      </c>
      <c r="U5" s="20">
        <v>-0.04</v>
      </c>
      <c r="V5" s="20">
        <v>3441.12</v>
      </c>
      <c r="AK5" s="56">
        <v>65</v>
      </c>
      <c r="AL5" s="53">
        <v>4.5</v>
      </c>
      <c r="AM5" s="55">
        <v>2.6</v>
      </c>
      <c r="AN5" s="53">
        <v>2.5299999999999998</v>
      </c>
      <c r="AO5" s="55">
        <v>1.6</v>
      </c>
      <c r="AP5" s="53">
        <v>0.24</v>
      </c>
      <c r="AQ5" s="55">
        <v>0.39</v>
      </c>
      <c r="AR5" s="63"/>
      <c r="AS5" s="66"/>
      <c r="AT5" s="69"/>
      <c r="AU5" s="72"/>
      <c r="AV5" s="69"/>
      <c r="AW5" s="72"/>
      <c r="BK5" s="56">
        <v>65</v>
      </c>
      <c r="BL5" s="63"/>
      <c r="BM5" s="66"/>
      <c r="BN5" s="69"/>
      <c r="BO5" s="72"/>
      <c r="BP5" s="69"/>
      <c r="BQ5" s="72"/>
    </row>
    <row r="6" spans="1:69" ht="17.399999999999999" thickBot="1" x14ac:dyDescent="0.35">
      <c r="A6" s="20">
        <v>0.6</v>
      </c>
      <c r="B6" s="20">
        <v>35.01</v>
      </c>
      <c r="C6" s="20">
        <v>50</v>
      </c>
      <c r="D6" s="20">
        <v>14.99</v>
      </c>
      <c r="E6" s="20">
        <v>-0.13</v>
      </c>
      <c r="F6" s="20">
        <v>2481.89</v>
      </c>
      <c r="Q6" s="20">
        <v>0.5</v>
      </c>
      <c r="R6" s="20">
        <v>50</v>
      </c>
      <c r="S6" s="20">
        <v>29.83</v>
      </c>
      <c r="T6" s="20">
        <v>20.170000000000002</v>
      </c>
      <c r="U6" s="20">
        <v>-0.02</v>
      </c>
      <c r="V6" s="20">
        <v>3443.96</v>
      </c>
      <c r="AK6" s="56">
        <v>80</v>
      </c>
      <c r="AL6" s="53">
        <v>4</v>
      </c>
      <c r="AM6" s="55">
        <v>5</v>
      </c>
      <c r="AN6" s="53">
        <v>2.87</v>
      </c>
      <c r="AO6" s="55">
        <v>0.8</v>
      </c>
      <c r="AP6" s="53">
        <v>0.2</v>
      </c>
      <c r="AQ6" s="55">
        <v>0.31</v>
      </c>
      <c r="AR6" s="64"/>
      <c r="AS6" s="67"/>
      <c r="AT6" s="70"/>
      <c r="AU6" s="73"/>
      <c r="AV6" s="70"/>
      <c r="AW6" s="73"/>
      <c r="BK6" s="56">
        <v>80</v>
      </c>
      <c r="BL6" s="64"/>
      <c r="BM6" s="67"/>
      <c r="BN6" s="70"/>
      <c r="BO6" s="73"/>
      <c r="BP6" s="70"/>
      <c r="BQ6" s="73"/>
    </row>
    <row r="7" spans="1:69" ht="16.8" x14ac:dyDescent="0.3">
      <c r="A7" s="20">
        <v>0.7</v>
      </c>
      <c r="B7" s="20">
        <v>35.159999999999997</v>
      </c>
      <c r="C7" s="20">
        <v>50</v>
      </c>
      <c r="D7" s="20">
        <v>14.84</v>
      </c>
      <c r="E7" s="20">
        <v>-0.16</v>
      </c>
      <c r="F7" s="20">
        <v>2488.4499999999998</v>
      </c>
      <c r="Q7" s="20">
        <v>0.6</v>
      </c>
      <c r="R7" s="20">
        <v>50</v>
      </c>
      <c r="S7" s="20">
        <v>29.91</v>
      </c>
      <c r="T7" s="20">
        <v>20.09</v>
      </c>
      <c r="U7" s="20">
        <v>-0.08</v>
      </c>
      <c r="V7" s="20">
        <v>3430.57</v>
      </c>
    </row>
    <row r="8" spans="1:69" ht="16.8" x14ac:dyDescent="0.3">
      <c r="A8" s="20">
        <v>0.8</v>
      </c>
      <c r="B8" s="20">
        <v>35.380000000000003</v>
      </c>
      <c r="C8" s="20">
        <v>50</v>
      </c>
      <c r="D8" s="20">
        <v>14.62</v>
      </c>
      <c r="E8" s="20">
        <v>-0.22</v>
      </c>
      <c r="F8" s="20">
        <v>2484.67</v>
      </c>
      <c r="Q8" s="20">
        <v>0.7</v>
      </c>
      <c r="R8" s="20">
        <v>50</v>
      </c>
      <c r="S8" s="20">
        <v>30.12</v>
      </c>
      <c r="T8" s="20">
        <v>19.88</v>
      </c>
      <c r="U8" s="20">
        <v>-0.21</v>
      </c>
      <c r="V8" s="20">
        <v>3399.81</v>
      </c>
    </row>
    <row r="9" spans="1:69" ht="16.8" x14ac:dyDescent="0.3">
      <c r="A9" s="20">
        <v>0.9</v>
      </c>
      <c r="B9" s="20">
        <v>35.630000000000003</v>
      </c>
      <c r="C9" s="20">
        <v>50</v>
      </c>
      <c r="D9" s="20">
        <v>14.37</v>
      </c>
      <c r="E9" s="20">
        <v>-0.25</v>
      </c>
      <c r="F9" s="20">
        <v>2476.71</v>
      </c>
      <c r="Q9" s="20">
        <v>0.8</v>
      </c>
      <c r="R9" s="20">
        <v>50</v>
      </c>
      <c r="S9" s="20">
        <v>30.33</v>
      </c>
      <c r="T9" s="20">
        <v>19.670000000000002</v>
      </c>
      <c r="U9" s="20">
        <v>-0.21</v>
      </c>
      <c r="V9" s="20">
        <v>3397.78</v>
      </c>
    </row>
    <row r="10" spans="1:69" ht="17.399999999999999" customHeight="1" thickBot="1" x14ac:dyDescent="0.35">
      <c r="A10" s="20">
        <v>1</v>
      </c>
      <c r="B10" s="20">
        <v>35.94</v>
      </c>
      <c r="C10" s="20">
        <v>50</v>
      </c>
      <c r="D10" s="20">
        <v>14.06</v>
      </c>
      <c r="E10" s="20">
        <v>-0.31</v>
      </c>
      <c r="F10" s="20">
        <v>2456.81</v>
      </c>
      <c r="Q10" s="20">
        <v>0.9</v>
      </c>
      <c r="R10" s="20">
        <v>50</v>
      </c>
      <c r="S10" s="20">
        <v>30.63</v>
      </c>
      <c r="T10" s="20">
        <v>19.37</v>
      </c>
      <c r="U10" s="20">
        <v>-0.28999999999999998</v>
      </c>
      <c r="V10" s="20">
        <v>3377.12</v>
      </c>
    </row>
    <row r="11" spans="1:69" ht="17.399999999999999" thickBot="1" x14ac:dyDescent="0.35">
      <c r="A11" s="26">
        <v>1.1000000000000001</v>
      </c>
      <c r="B11" s="26">
        <v>36.24</v>
      </c>
      <c r="C11" s="20">
        <v>50</v>
      </c>
      <c r="D11" s="20">
        <v>13.76</v>
      </c>
      <c r="E11" s="20">
        <v>-0.28999999999999998</v>
      </c>
      <c r="F11" s="20">
        <v>2441.15</v>
      </c>
      <c r="Q11" s="20">
        <v>1</v>
      </c>
      <c r="R11" s="20">
        <v>50</v>
      </c>
      <c r="S11" s="20">
        <v>30.92</v>
      </c>
      <c r="T11" s="20">
        <v>19.079999999999998</v>
      </c>
      <c r="U11" s="20">
        <v>-0.3</v>
      </c>
      <c r="V11" s="20">
        <v>3376.07</v>
      </c>
      <c r="AX11" s="58" t="s">
        <v>65</v>
      </c>
      <c r="AY11" s="59"/>
    </row>
    <row r="12" spans="1:69" ht="17.399999999999999" thickBot="1" x14ac:dyDescent="0.35">
      <c r="A12" s="26">
        <v>1.2</v>
      </c>
      <c r="B12" s="26">
        <v>36.58</v>
      </c>
      <c r="C12" s="20">
        <v>50</v>
      </c>
      <c r="D12" s="20">
        <v>13.42</v>
      </c>
      <c r="E12" s="20">
        <v>-0.35</v>
      </c>
      <c r="F12" s="20">
        <v>2415.3000000000002</v>
      </c>
      <c r="Q12" s="20">
        <v>1.1000000000000001</v>
      </c>
      <c r="R12" s="20">
        <v>50</v>
      </c>
      <c r="S12" s="20">
        <v>31.34</v>
      </c>
      <c r="T12" s="20">
        <v>18.66</v>
      </c>
      <c r="U12" s="20">
        <v>-0.41</v>
      </c>
      <c r="V12" s="20">
        <v>3390.27</v>
      </c>
      <c r="AW12" s="54" t="s">
        <v>62</v>
      </c>
      <c r="AX12" s="53" t="s">
        <v>63</v>
      </c>
      <c r="AY12" s="55" t="s">
        <v>64</v>
      </c>
    </row>
    <row r="13" spans="1:69" ht="17.399999999999999" thickBot="1" x14ac:dyDescent="0.35">
      <c r="A13" s="26">
        <v>1.3</v>
      </c>
      <c r="B13" s="26">
        <v>36.93</v>
      </c>
      <c r="C13" s="20">
        <v>50</v>
      </c>
      <c r="D13" s="20">
        <v>13.07</v>
      </c>
      <c r="E13" s="20">
        <v>-0.35</v>
      </c>
      <c r="F13" s="20">
        <v>2389.7600000000002</v>
      </c>
      <c r="Q13" s="20">
        <v>1.2</v>
      </c>
      <c r="R13" s="20">
        <v>50</v>
      </c>
      <c r="S13" s="20">
        <v>31.76</v>
      </c>
      <c r="T13" s="20">
        <v>18.239999999999998</v>
      </c>
      <c r="U13" s="20">
        <v>-0.43</v>
      </c>
      <c r="V13" s="20">
        <v>3392.84</v>
      </c>
      <c r="AW13" s="56">
        <v>50</v>
      </c>
      <c r="AX13" s="53">
        <v>1.18</v>
      </c>
      <c r="AY13" s="55">
        <v>4.0599999999999996</v>
      </c>
    </row>
    <row r="14" spans="1:69" ht="17.399999999999999" thickBot="1" x14ac:dyDescent="0.35">
      <c r="A14" s="26">
        <v>1.4</v>
      </c>
      <c r="B14" s="26">
        <v>37.299999999999997</v>
      </c>
      <c r="C14" s="20">
        <v>50</v>
      </c>
      <c r="D14" s="20">
        <v>12.7</v>
      </c>
      <c r="E14" s="20">
        <v>-0.37</v>
      </c>
      <c r="F14" s="20">
        <v>2359.27</v>
      </c>
      <c r="Q14" s="20">
        <v>1.3</v>
      </c>
      <c r="R14" s="20">
        <v>50</v>
      </c>
      <c r="S14" s="20">
        <v>32.21</v>
      </c>
      <c r="T14" s="20">
        <v>17.79</v>
      </c>
      <c r="U14" s="20">
        <v>-0.45</v>
      </c>
      <c r="V14" s="20">
        <v>3396.68</v>
      </c>
      <c r="AK14" s="53"/>
      <c r="AL14" s="60" t="s">
        <v>59</v>
      </c>
      <c r="AM14" s="61"/>
      <c r="AW14" s="56">
        <v>65</v>
      </c>
      <c r="AX14" s="53">
        <v>2.5299999999999998</v>
      </c>
      <c r="AY14" s="55">
        <v>1.6</v>
      </c>
    </row>
    <row r="15" spans="1:69" ht="17.399999999999999" thickBot="1" x14ac:dyDescent="0.35">
      <c r="A15" s="26">
        <v>1.5</v>
      </c>
      <c r="B15" s="26">
        <v>37.68</v>
      </c>
      <c r="C15" s="20">
        <v>50</v>
      </c>
      <c r="D15" s="20">
        <v>12.32</v>
      </c>
      <c r="E15" s="20">
        <v>-0.38</v>
      </c>
      <c r="F15" s="20">
        <v>2326.37</v>
      </c>
      <c r="Q15" s="20">
        <v>1.4</v>
      </c>
      <c r="R15" s="20">
        <v>50</v>
      </c>
      <c r="S15" s="20">
        <v>32.770000000000003</v>
      </c>
      <c r="T15" s="20">
        <v>17.23</v>
      </c>
      <c r="U15" s="20">
        <v>-0.56000000000000005</v>
      </c>
      <c r="V15" s="20">
        <v>3413.7</v>
      </c>
      <c r="AK15" s="54" t="s">
        <v>62</v>
      </c>
      <c r="AL15" s="53" t="s">
        <v>63</v>
      </c>
      <c r="AM15" s="55" t="s">
        <v>64</v>
      </c>
      <c r="AW15" s="56">
        <v>80</v>
      </c>
      <c r="AX15" s="53">
        <v>2.87</v>
      </c>
      <c r="AY15" s="55">
        <v>0.8</v>
      </c>
    </row>
    <row r="16" spans="1:69" ht="17.399999999999999" thickBot="1" x14ac:dyDescent="0.35">
      <c r="A16" s="26">
        <v>1.6</v>
      </c>
      <c r="B16" s="26">
        <v>38.11</v>
      </c>
      <c r="C16" s="20">
        <v>50</v>
      </c>
      <c r="D16" s="20">
        <v>11.89</v>
      </c>
      <c r="E16" s="20">
        <v>-0.43</v>
      </c>
      <c r="F16" s="20">
        <v>2285.15</v>
      </c>
      <c r="Q16" s="20">
        <v>1.5</v>
      </c>
      <c r="R16" s="20">
        <v>50</v>
      </c>
      <c r="S16" s="20">
        <v>33.270000000000003</v>
      </c>
      <c r="T16" s="20">
        <v>16.73</v>
      </c>
      <c r="U16" s="20">
        <v>-0.49</v>
      </c>
      <c r="V16" s="20">
        <v>3403.03</v>
      </c>
      <c r="AA16" s="34" t="s">
        <v>49</v>
      </c>
      <c r="AB16" s="34"/>
      <c r="AC16" s="34" t="s">
        <v>50</v>
      </c>
      <c r="AD16" s="34"/>
      <c r="AE16" s="34" t="s">
        <v>51</v>
      </c>
      <c r="AF16" s="34"/>
      <c r="AK16" s="56">
        <v>50</v>
      </c>
      <c r="AL16" s="53">
        <v>4.9000000000000004</v>
      </c>
      <c r="AM16" s="55">
        <v>2</v>
      </c>
    </row>
    <row r="17" spans="1:39" ht="17.399999999999999" thickBot="1" x14ac:dyDescent="0.35">
      <c r="A17" s="26">
        <v>1.7</v>
      </c>
      <c r="B17" s="26">
        <v>38.51</v>
      </c>
      <c r="C17" s="20">
        <v>50</v>
      </c>
      <c r="D17" s="20">
        <v>11.49</v>
      </c>
      <c r="E17" s="20">
        <v>-0.4</v>
      </c>
      <c r="F17" s="20">
        <v>2248.86</v>
      </c>
      <c r="Q17" s="20">
        <v>1.6</v>
      </c>
      <c r="R17" s="20">
        <v>50</v>
      </c>
      <c r="S17" s="20">
        <v>33.79</v>
      </c>
      <c r="T17" s="20">
        <v>16.21</v>
      </c>
      <c r="U17" s="20">
        <v>-0.52</v>
      </c>
      <c r="V17" s="20">
        <v>3408.07</v>
      </c>
      <c r="AA17">
        <f>S2+0.1*(R2-S2)</f>
        <v>31.64</v>
      </c>
      <c r="AB17">
        <f>S2+0.9*(R2-S2)</f>
        <v>47.96</v>
      </c>
      <c r="AC17">
        <f>S330+0.1*(R331-S330)</f>
        <v>50.620999999999995</v>
      </c>
      <c r="AD17">
        <f>S330+0.9*(R331-S330)</f>
        <v>50.069000000000003</v>
      </c>
      <c r="AE17">
        <f>S661+0.1*(R662-S661)</f>
        <v>65.215999999999994</v>
      </c>
      <c r="AF17">
        <f>S661+0.9*(R662-S661)</f>
        <v>65.024000000000001</v>
      </c>
      <c r="AK17" s="56">
        <v>65</v>
      </c>
      <c r="AL17" s="53">
        <v>4.5</v>
      </c>
      <c r="AM17" s="55">
        <v>2.6</v>
      </c>
    </row>
    <row r="18" spans="1:39" ht="17.399999999999999" thickBot="1" x14ac:dyDescent="0.35">
      <c r="A18" s="26">
        <v>1.8</v>
      </c>
      <c r="B18" s="26">
        <v>38.92</v>
      </c>
      <c r="C18" s="20">
        <v>50</v>
      </c>
      <c r="D18" s="20">
        <v>11.08</v>
      </c>
      <c r="E18" s="20">
        <v>-0.41</v>
      </c>
      <c r="F18" s="20">
        <v>2209.0500000000002</v>
      </c>
      <c r="K18" s="34" t="s">
        <v>49</v>
      </c>
      <c r="L18" s="34"/>
      <c r="M18" s="34" t="s">
        <v>50</v>
      </c>
      <c r="N18" s="34"/>
      <c r="O18" s="34" t="s">
        <v>51</v>
      </c>
      <c r="P18" s="35"/>
      <c r="Q18" s="20">
        <v>1.7</v>
      </c>
      <c r="R18" s="20">
        <v>50</v>
      </c>
      <c r="S18" s="20">
        <v>34.31</v>
      </c>
      <c r="T18" s="20">
        <v>15.69</v>
      </c>
      <c r="U18" s="20">
        <v>-0.52</v>
      </c>
      <c r="V18" s="20">
        <v>3406.8</v>
      </c>
      <c r="X18" s="34" t="s">
        <v>47</v>
      </c>
      <c r="Y18" s="34"/>
      <c r="Z18" s="34"/>
      <c r="AA18" s="34">
        <f>Q31-Q11</f>
        <v>2</v>
      </c>
      <c r="AB18" s="34"/>
      <c r="AC18" s="34">
        <f>Q368-Q342</f>
        <v>2.6000000000000014</v>
      </c>
      <c r="AD18" s="34"/>
      <c r="AE18" s="34">
        <f>Q722-Q672</f>
        <v>5</v>
      </c>
      <c r="AF18" s="34"/>
      <c r="AK18" s="56">
        <v>80</v>
      </c>
      <c r="AL18" s="53">
        <v>4</v>
      </c>
      <c r="AM18" s="55">
        <v>5</v>
      </c>
    </row>
    <row r="19" spans="1:39" ht="16.8" x14ac:dyDescent="0.3">
      <c r="A19" s="26">
        <v>1.9</v>
      </c>
      <c r="B19" s="26">
        <v>39.31</v>
      </c>
      <c r="C19" s="20">
        <v>50</v>
      </c>
      <c r="D19" s="20">
        <v>10.69</v>
      </c>
      <c r="E19" s="20">
        <v>-0.39</v>
      </c>
      <c r="F19" s="20">
        <v>2172.14</v>
      </c>
      <c r="K19">
        <f>B2+0.1*(C2-B2)</f>
        <v>36.32</v>
      </c>
      <c r="L19">
        <f>B2+0.9*(C2-B2)</f>
        <v>48.480000000000004</v>
      </c>
      <c r="M19">
        <f>B330+0.1*(C331-B330)</f>
        <v>51.463999999999999</v>
      </c>
      <c r="N19">
        <f>B330+0.9*(C331-B330)</f>
        <v>63.496000000000002</v>
      </c>
      <c r="O19">
        <f>B661+0.1*(C662-B661)</f>
        <v>66.887</v>
      </c>
      <c r="P19">
        <f>B661+0.9*(C662-B661)</f>
        <v>78.543000000000006</v>
      </c>
      <c r="Q19" s="20">
        <v>1.8</v>
      </c>
      <c r="R19" s="20">
        <v>50</v>
      </c>
      <c r="S19" s="20">
        <v>34.86</v>
      </c>
      <c r="T19" s="20">
        <v>15.14</v>
      </c>
      <c r="U19" s="20">
        <v>-0.56000000000000005</v>
      </c>
      <c r="V19" s="20">
        <v>3406.53</v>
      </c>
    </row>
    <row r="20" spans="1:39" ht="16.8" x14ac:dyDescent="0.3">
      <c r="A20" s="26">
        <v>2</v>
      </c>
      <c r="B20" s="26">
        <v>39.69</v>
      </c>
      <c r="C20" s="20">
        <v>50</v>
      </c>
      <c r="D20" s="20">
        <v>10.31</v>
      </c>
      <c r="E20" s="20">
        <v>-0.38</v>
      </c>
      <c r="F20" s="20">
        <v>2135.42</v>
      </c>
      <c r="H20" s="34" t="s">
        <v>47</v>
      </c>
      <c r="I20" s="34"/>
      <c r="J20" s="34"/>
      <c r="K20" s="34">
        <f>A60-A11</f>
        <v>4.9000000000000004</v>
      </c>
      <c r="L20" s="34"/>
      <c r="M20" s="34">
        <f>38.3-33.8</f>
        <v>4.5</v>
      </c>
      <c r="N20" s="34"/>
      <c r="O20" s="34">
        <f>71-67</f>
        <v>4</v>
      </c>
      <c r="P20" s="35"/>
      <c r="Q20" s="20">
        <v>1.9</v>
      </c>
      <c r="R20" s="20">
        <v>50</v>
      </c>
      <c r="S20" s="20">
        <v>35.409999999999997</v>
      </c>
      <c r="T20" s="20">
        <v>14.59</v>
      </c>
      <c r="U20" s="20">
        <v>-0.54</v>
      </c>
      <c r="V20" s="20">
        <v>3397.98</v>
      </c>
      <c r="X20" s="34" t="s">
        <v>52</v>
      </c>
      <c r="Y20" s="34"/>
      <c r="Z20" s="34"/>
      <c r="AA20" s="34">
        <f>((MAX(S2:S128)-50)/50)*100</f>
        <v>4.0600000000000023</v>
      </c>
      <c r="AB20" s="34"/>
      <c r="AC20" s="34">
        <f>((MAX(S331:S541)-65)/65)*100</f>
        <v>1.6000000000000099</v>
      </c>
      <c r="AD20" s="34"/>
      <c r="AE20" s="34">
        <f>((MAX(S662:S1001)-80)/80)*100</f>
        <v>0.81250000000000711</v>
      </c>
      <c r="AF20" s="34"/>
    </row>
    <row r="21" spans="1:39" ht="16.8" x14ac:dyDescent="0.3">
      <c r="A21" s="26">
        <v>2.1</v>
      </c>
      <c r="B21" s="26">
        <v>40.130000000000003</v>
      </c>
      <c r="C21" s="20">
        <v>50</v>
      </c>
      <c r="D21" s="20">
        <v>9.8699999999999992</v>
      </c>
      <c r="E21" s="20">
        <v>-0.44</v>
      </c>
      <c r="F21" s="20">
        <v>2088.5700000000002</v>
      </c>
      <c r="Q21" s="20">
        <v>2</v>
      </c>
      <c r="R21" s="20">
        <v>50</v>
      </c>
      <c r="S21" s="20">
        <v>35.94</v>
      </c>
      <c r="T21" s="20">
        <v>14.06</v>
      </c>
      <c r="U21" s="20">
        <v>-0.54</v>
      </c>
      <c r="V21" s="20">
        <v>3389.46</v>
      </c>
    </row>
    <row r="22" spans="1:39" ht="16.8" x14ac:dyDescent="0.3">
      <c r="A22" s="26">
        <v>2.2000000000000002</v>
      </c>
      <c r="B22" s="26">
        <v>40.51</v>
      </c>
      <c r="C22" s="20">
        <v>50</v>
      </c>
      <c r="D22" s="20">
        <v>9.49</v>
      </c>
      <c r="E22" s="20">
        <v>-0.38</v>
      </c>
      <c r="F22" s="20">
        <v>2051.7199999999998</v>
      </c>
      <c r="H22" s="34" t="s">
        <v>42</v>
      </c>
      <c r="I22" s="34"/>
      <c r="J22" s="34"/>
      <c r="K22" s="34">
        <f>((MAX(B2:B200)-C2)/C2)*100</f>
        <v>1.1800000000000068</v>
      </c>
      <c r="L22" s="34"/>
      <c r="M22" s="34">
        <f>((MAX(B332:B531)-C503)/C503)*100</f>
        <v>2.5384615384615472</v>
      </c>
      <c r="N22" s="34"/>
      <c r="O22" s="34">
        <f>((MAX(B662:B865)-80)/80)*100</f>
        <v>2.8749999999999964</v>
      </c>
      <c r="P22" s="35"/>
      <c r="Q22" s="20">
        <v>2.1</v>
      </c>
      <c r="R22" s="20">
        <v>50</v>
      </c>
      <c r="S22" s="20">
        <v>36.53</v>
      </c>
      <c r="T22" s="20">
        <v>13.47</v>
      </c>
      <c r="U22" s="20">
        <v>-0.57999999999999996</v>
      </c>
      <c r="V22" s="20">
        <v>3396.87</v>
      </c>
      <c r="X22" s="34" t="s">
        <v>53</v>
      </c>
      <c r="Y22" s="34"/>
      <c r="Z22" s="34"/>
      <c r="AA22" s="34">
        <f>ABS(AVERAGE(S200:S330))</f>
        <v>50.463893129770966</v>
      </c>
      <c r="AB22" s="34"/>
      <c r="AC22" s="34">
        <f>ABS(AVERAGE(S500:S661))</f>
        <v>65.259567901234604</v>
      </c>
      <c r="AD22" s="34"/>
      <c r="AE22" s="34">
        <f>ABS(AVERAGE(S899:S1001))</f>
        <v>80.247475728155351</v>
      </c>
      <c r="AF22" s="34"/>
    </row>
    <row r="23" spans="1:39" ht="16.8" x14ac:dyDescent="0.3">
      <c r="A23" s="26">
        <v>2.2999999999999998</v>
      </c>
      <c r="B23" s="26">
        <v>40.86</v>
      </c>
      <c r="C23" s="20">
        <v>50</v>
      </c>
      <c r="D23" s="20">
        <v>9.14</v>
      </c>
      <c r="E23" s="20">
        <v>-0.35</v>
      </c>
      <c r="F23" s="20">
        <v>2017.89</v>
      </c>
      <c r="Q23" s="20">
        <v>2.2000000000000002</v>
      </c>
      <c r="R23" s="20">
        <v>50</v>
      </c>
      <c r="S23" s="20">
        <v>37.08</v>
      </c>
      <c r="T23" s="20">
        <v>12.92</v>
      </c>
      <c r="U23" s="20">
        <v>-0.55000000000000004</v>
      </c>
      <c r="V23" s="20">
        <v>3405.57</v>
      </c>
      <c r="X23" s="34" t="s">
        <v>43</v>
      </c>
      <c r="Y23" s="34"/>
      <c r="Z23" s="34"/>
      <c r="AA23" s="34">
        <f>((AA22-50)/50)*100</f>
        <v>0.92778625954193206</v>
      </c>
      <c r="AB23" s="34"/>
      <c r="AC23" s="34">
        <f>ABS((AC22-65)/65)*100</f>
        <v>0.39933523266862142</v>
      </c>
      <c r="AD23" s="34"/>
      <c r="AE23" s="34">
        <f>((AE22-80)/80)*100</f>
        <v>0.30934466019418849</v>
      </c>
      <c r="AF23" s="34"/>
    </row>
    <row r="24" spans="1:39" ht="16.8" x14ac:dyDescent="0.3">
      <c r="A24" s="26">
        <v>2.4</v>
      </c>
      <c r="B24" s="26">
        <v>41.28</v>
      </c>
      <c r="C24" s="20">
        <v>50</v>
      </c>
      <c r="D24" s="20">
        <v>8.7200000000000006</v>
      </c>
      <c r="E24" s="20">
        <v>-0.42</v>
      </c>
      <c r="F24" s="20">
        <v>1970.77</v>
      </c>
      <c r="H24" s="34" t="s">
        <v>48</v>
      </c>
      <c r="I24" s="34"/>
      <c r="J24" s="34"/>
      <c r="K24" s="34">
        <f>ABS(AVERAGE(B200:B330))</f>
        <v>50.000992366412163</v>
      </c>
      <c r="L24" s="34"/>
      <c r="M24" s="34">
        <f>ABS(AVERAGE(B500:B660))</f>
        <v>65.156894409937863</v>
      </c>
      <c r="N24" s="34"/>
      <c r="O24" s="34">
        <f>ABS(AVERAGE(B864:B1001))</f>
        <v>80.166594202898551</v>
      </c>
      <c r="P24" s="35"/>
      <c r="Q24" s="20">
        <v>2.2999999999999998</v>
      </c>
      <c r="R24" s="20">
        <v>50</v>
      </c>
      <c r="S24" s="20">
        <v>37.64</v>
      </c>
      <c r="T24" s="20">
        <v>12.36</v>
      </c>
      <c r="U24" s="20">
        <v>-0.56000000000000005</v>
      </c>
      <c r="V24" s="20">
        <v>3414.33</v>
      </c>
    </row>
    <row r="25" spans="1:39" ht="17.399999999999999" thickBot="1" x14ac:dyDescent="0.35">
      <c r="A25" s="26">
        <v>2.5</v>
      </c>
      <c r="B25" s="26">
        <v>41.61</v>
      </c>
      <c r="C25" s="20">
        <v>50</v>
      </c>
      <c r="D25" s="20">
        <v>8.39</v>
      </c>
      <c r="E25" s="20">
        <v>-0.34</v>
      </c>
      <c r="F25" s="20">
        <v>1938.24</v>
      </c>
      <c r="H25" s="34" t="s">
        <v>43</v>
      </c>
      <c r="I25" s="34"/>
      <c r="J25" s="34"/>
      <c r="K25" s="34">
        <f>((K24-50)/50)*100</f>
        <v>1.9847328243258744E-3</v>
      </c>
      <c r="L25" s="34"/>
      <c r="M25" s="34">
        <f>((M24-65)/65)*100</f>
        <v>0.24137601528901945</v>
      </c>
      <c r="N25" s="34"/>
      <c r="O25" s="34">
        <f>((O24-80)/80)*100</f>
        <v>0.208242753623189</v>
      </c>
      <c r="P25" s="35"/>
      <c r="Q25" s="20">
        <v>2.4</v>
      </c>
      <c r="R25" s="20">
        <v>50</v>
      </c>
      <c r="S25" s="20">
        <v>38.21</v>
      </c>
      <c r="T25" s="20">
        <v>11.79</v>
      </c>
      <c r="U25" s="20">
        <v>-0.56999999999999995</v>
      </c>
      <c r="V25" s="20">
        <v>3414.93</v>
      </c>
      <c r="X25" s="34" t="s">
        <v>44</v>
      </c>
      <c r="Y25" s="34"/>
      <c r="Z25" s="34"/>
      <c r="AA25" s="34" cm="1">
        <f t="array" ref="AA25">SUMPRODUCT(ABS(T2:T1001)*0.1)</f>
        <v>208.80900000000042</v>
      </c>
      <c r="AB25" s="34"/>
      <c r="AC25" s="34"/>
      <c r="AD25" s="34"/>
      <c r="AE25" s="34"/>
      <c r="AF25" s="34"/>
    </row>
    <row r="26" spans="1:39" ht="17.399999999999999" thickBot="1" x14ac:dyDescent="0.35">
      <c r="A26" s="26">
        <v>2.6</v>
      </c>
      <c r="B26" s="26">
        <v>41.98</v>
      </c>
      <c r="C26" s="20">
        <v>50</v>
      </c>
      <c r="D26" s="20">
        <v>8.02</v>
      </c>
      <c r="E26" s="20">
        <v>-0.37</v>
      </c>
      <c r="F26" s="20">
        <v>1897.75</v>
      </c>
      <c r="Q26" s="20">
        <v>2.5</v>
      </c>
      <c r="R26" s="20">
        <v>50</v>
      </c>
      <c r="S26" s="20">
        <v>38.76</v>
      </c>
      <c r="T26" s="20">
        <v>11.24</v>
      </c>
      <c r="U26" s="20">
        <v>-0.55000000000000004</v>
      </c>
      <c r="V26" s="20">
        <v>3412.44</v>
      </c>
      <c r="AL26" s="58" t="s">
        <v>61</v>
      </c>
      <c r="AM26" s="59"/>
    </row>
    <row r="27" spans="1:39" ht="17.399999999999999" thickBot="1" x14ac:dyDescent="0.35">
      <c r="A27" s="26">
        <v>2.7</v>
      </c>
      <c r="B27" s="26">
        <v>42.3</v>
      </c>
      <c r="C27" s="20">
        <v>50</v>
      </c>
      <c r="D27" s="20">
        <v>7.7</v>
      </c>
      <c r="E27" s="20">
        <v>-0.31</v>
      </c>
      <c r="F27" s="20">
        <v>1866.99</v>
      </c>
      <c r="H27" s="34" t="s">
        <v>44</v>
      </c>
      <c r="I27" s="34"/>
      <c r="J27" s="34"/>
      <c r="K27" s="34" cm="1">
        <f t="array" ref="K27">SUMPRODUCT(ABS(D2:D1001)*0.1)</f>
        <v>170.74200000000002</v>
      </c>
      <c r="L27" s="34"/>
      <c r="M27" s="34"/>
      <c r="N27" s="34"/>
      <c r="O27" s="34"/>
      <c r="P27" s="35"/>
      <c r="Q27" s="20">
        <v>2.6</v>
      </c>
      <c r="R27" s="20">
        <v>50</v>
      </c>
      <c r="S27" s="20">
        <v>39.299999999999997</v>
      </c>
      <c r="T27" s="20">
        <v>10.7</v>
      </c>
      <c r="U27" s="20">
        <v>-0.54</v>
      </c>
      <c r="V27" s="20">
        <v>3410.57</v>
      </c>
      <c r="X27" s="34" t="s">
        <v>45</v>
      </c>
      <c r="Y27" s="34"/>
      <c r="Z27" s="34"/>
      <c r="AA27" s="34" cm="1">
        <f t="array" ref="AA27">SUMPRODUCT(((T2:T1001)^2)*0.1)</f>
        <v>2076.1118700000097</v>
      </c>
      <c r="AB27" s="34"/>
      <c r="AC27" s="34"/>
      <c r="AD27" s="34"/>
      <c r="AE27" s="34"/>
      <c r="AF27" s="34"/>
      <c r="AK27" s="54" t="s">
        <v>62</v>
      </c>
      <c r="AL27" s="53" t="s">
        <v>63</v>
      </c>
      <c r="AM27" s="55" t="s">
        <v>64</v>
      </c>
    </row>
    <row r="28" spans="1:39" ht="17.399999999999999" thickBot="1" x14ac:dyDescent="0.35">
      <c r="A28" s="26">
        <v>2.8</v>
      </c>
      <c r="B28" s="26">
        <v>42.66</v>
      </c>
      <c r="C28" s="20">
        <v>50</v>
      </c>
      <c r="D28" s="20">
        <v>7.34</v>
      </c>
      <c r="E28" s="20">
        <v>-0.36</v>
      </c>
      <c r="F28" s="20">
        <v>1826.69</v>
      </c>
      <c r="Q28" s="20">
        <v>2.7</v>
      </c>
      <c r="R28" s="20">
        <v>50</v>
      </c>
      <c r="S28" s="20">
        <v>39.85</v>
      </c>
      <c r="T28" s="20">
        <v>10.15</v>
      </c>
      <c r="U28" s="20">
        <v>-0.55000000000000004</v>
      </c>
      <c r="V28" s="20">
        <v>3411.81</v>
      </c>
      <c r="AK28" s="56">
        <v>50</v>
      </c>
      <c r="AL28" s="53">
        <v>1E-3</v>
      </c>
      <c r="AM28" s="55">
        <v>0.92</v>
      </c>
    </row>
    <row r="29" spans="1:39" ht="17.399999999999999" thickBot="1" x14ac:dyDescent="0.35">
      <c r="A29" s="26">
        <v>2.9</v>
      </c>
      <c r="B29" s="26">
        <v>42.98</v>
      </c>
      <c r="C29" s="20">
        <v>50</v>
      </c>
      <c r="D29" s="20">
        <v>7.02</v>
      </c>
      <c r="E29" s="20">
        <v>-0.33</v>
      </c>
      <c r="F29" s="20">
        <v>1792.17</v>
      </c>
      <c r="H29" s="34" t="s">
        <v>45</v>
      </c>
      <c r="I29" s="34"/>
      <c r="J29" s="34"/>
      <c r="K29" s="34" cm="1">
        <f t="array" ref="K29">SUMPRODUCT(((D2:D1001)^2)*0.1)</f>
        <v>1364.7693800000022</v>
      </c>
      <c r="L29" s="34"/>
      <c r="M29" s="34"/>
      <c r="N29" s="34"/>
      <c r="O29" s="34"/>
      <c r="P29" s="35"/>
      <c r="Q29" s="20">
        <v>2.8</v>
      </c>
      <c r="R29" s="20">
        <v>50</v>
      </c>
      <c r="S29" s="20">
        <v>40.369999999999997</v>
      </c>
      <c r="T29" s="20">
        <v>9.6300000000000008</v>
      </c>
      <c r="U29" s="20">
        <v>-0.52</v>
      </c>
      <c r="V29" s="20">
        <v>3407.43</v>
      </c>
      <c r="X29" s="34" t="s">
        <v>46</v>
      </c>
      <c r="Y29" s="34"/>
      <c r="Z29" s="34"/>
      <c r="AA29" s="34" cm="1">
        <f t="array" ref="AA29">SUMPRODUCT(Q2:Q1001 * ABS(T2:T1001) * 0.1)</f>
        <v>8604.9397999999928</v>
      </c>
      <c r="AB29" s="34"/>
      <c r="AC29" s="34"/>
      <c r="AD29" s="34"/>
      <c r="AE29" s="34"/>
      <c r="AF29" s="34"/>
      <c r="AK29" s="56">
        <v>65</v>
      </c>
      <c r="AL29" s="53">
        <v>0.24</v>
      </c>
      <c r="AM29" s="55">
        <v>0.39</v>
      </c>
    </row>
    <row r="30" spans="1:39" ht="17.399999999999999" thickBot="1" x14ac:dyDescent="0.35">
      <c r="A30" s="26">
        <v>3</v>
      </c>
      <c r="B30" s="26">
        <v>43.31</v>
      </c>
      <c r="C30" s="20">
        <v>50</v>
      </c>
      <c r="D30" s="20">
        <v>6.69</v>
      </c>
      <c r="E30" s="20">
        <v>-0.33</v>
      </c>
      <c r="F30" s="20">
        <v>1756.31</v>
      </c>
      <c r="Q30" s="20">
        <v>2.9</v>
      </c>
      <c r="R30" s="20">
        <v>50</v>
      </c>
      <c r="S30" s="20">
        <v>40.96</v>
      </c>
      <c r="T30" s="20">
        <v>9.0399999999999991</v>
      </c>
      <c r="U30" s="20">
        <v>-0.59</v>
      </c>
      <c r="V30" s="20">
        <v>3418.02</v>
      </c>
      <c r="AK30" s="56">
        <v>80</v>
      </c>
      <c r="AL30" s="53">
        <v>0.2</v>
      </c>
      <c r="AM30" s="55">
        <v>0.31</v>
      </c>
    </row>
    <row r="31" spans="1:39" ht="16.8" x14ac:dyDescent="0.3">
      <c r="A31" s="26">
        <v>3.1</v>
      </c>
      <c r="B31" s="26">
        <v>43.61</v>
      </c>
      <c r="C31" s="20">
        <v>50</v>
      </c>
      <c r="D31" s="20">
        <v>6.39</v>
      </c>
      <c r="E31" s="20">
        <v>-0.3</v>
      </c>
      <c r="F31" s="20">
        <v>1724</v>
      </c>
      <c r="H31" s="34" t="s">
        <v>46</v>
      </c>
      <c r="I31" s="34"/>
      <c r="J31" s="34"/>
      <c r="K31" s="34" cm="1">
        <f t="array" ref="K31">SUMPRODUCT(A2:A1001 * ABS(D2:D1001) * 0.1)</f>
        <v>6785.9106999999995</v>
      </c>
      <c r="L31" s="34"/>
      <c r="M31" s="34"/>
      <c r="N31" s="34"/>
      <c r="O31" s="34"/>
      <c r="P31" s="35"/>
      <c r="Q31" s="20">
        <v>3</v>
      </c>
      <c r="R31" s="20">
        <v>50</v>
      </c>
      <c r="S31" s="20">
        <v>41.48</v>
      </c>
      <c r="T31" s="20">
        <v>8.52</v>
      </c>
      <c r="U31" s="20">
        <v>-0.52</v>
      </c>
      <c r="V31" s="20">
        <v>3407.44</v>
      </c>
    </row>
    <row r="32" spans="1:39" ht="16.8" x14ac:dyDescent="0.3">
      <c r="A32" s="26">
        <v>3.2</v>
      </c>
      <c r="B32" s="26">
        <v>43.92</v>
      </c>
      <c r="C32" s="20">
        <v>50</v>
      </c>
      <c r="D32" s="20">
        <v>6.08</v>
      </c>
      <c r="E32" s="20">
        <v>-0.31</v>
      </c>
      <c r="F32" s="20">
        <v>1689.87</v>
      </c>
      <c r="Q32" s="20">
        <v>3.1</v>
      </c>
      <c r="R32" s="20">
        <v>50</v>
      </c>
      <c r="S32" s="20">
        <v>42.02</v>
      </c>
      <c r="T32" s="20">
        <v>7.98</v>
      </c>
      <c r="U32" s="20">
        <v>-0.54</v>
      </c>
      <c r="V32" s="20">
        <v>3411.21</v>
      </c>
    </row>
    <row r="33" spans="1:22" ht="16.8" x14ac:dyDescent="0.3">
      <c r="A33" s="26">
        <v>3.3</v>
      </c>
      <c r="B33" s="26">
        <v>44.23</v>
      </c>
      <c r="C33" s="20">
        <v>50</v>
      </c>
      <c r="D33" s="20">
        <v>5.77</v>
      </c>
      <c r="E33" s="20">
        <v>-0.31</v>
      </c>
      <c r="F33" s="20">
        <v>1655.17</v>
      </c>
      <c r="Q33" s="20">
        <v>3.2</v>
      </c>
      <c r="R33" s="20">
        <v>50</v>
      </c>
      <c r="S33" s="20">
        <v>42.55</v>
      </c>
      <c r="T33" s="20">
        <v>7.45</v>
      </c>
      <c r="U33" s="20">
        <v>-0.53</v>
      </c>
      <c r="V33" s="20">
        <v>3409.33</v>
      </c>
    </row>
    <row r="34" spans="1:22" ht="16.8" x14ac:dyDescent="0.3">
      <c r="A34" s="26">
        <v>3.4</v>
      </c>
      <c r="B34" s="26">
        <v>44.48</v>
      </c>
      <c r="C34" s="20">
        <v>50</v>
      </c>
      <c r="D34" s="20">
        <v>5.52</v>
      </c>
      <c r="E34" s="20">
        <v>-0.25</v>
      </c>
      <c r="F34" s="20">
        <v>1629.71</v>
      </c>
      <c r="Q34" s="20">
        <v>3.3</v>
      </c>
      <c r="R34" s="20">
        <v>50</v>
      </c>
      <c r="S34" s="20">
        <v>43.07</v>
      </c>
      <c r="T34" s="20">
        <v>6.93</v>
      </c>
      <c r="U34" s="20">
        <v>-0.52</v>
      </c>
      <c r="V34" s="20">
        <v>3407.44</v>
      </c>
    </row>
    <row r="35" spans="1:22" ht="16.8" x14ac:dyDescent="0.3">
      <c r="A35" s="26">
        <v>3.5</v>
      </c>
      <c r="B35" s="26">
        <v>44.75</v>
      </c>
      <c r="C35" s="20">
        <v>50</v>
      </c>
      <c r="D35" s="20">
        <v>5.25</v>
      </c>
      <c r="E35" s="20">
        <v>-0.27</v>
      </c>
      <c r="F35" s="20">
        <v>1599.06</v>
      </c>
      <c r="Q35" s="20">
        <v>3.4</v>
      </c>
      <c r="R35" s="20">
        <v>50</v>
      </c>
      <c r="S35" s="20">
        <v>43.62</v>
      </c>
      <c r="T35" s="20">
        <v>6.38</v>
      </c>
      <c r="U35" s="20">
        <v>-0.54</v>
      </c>
      <c r="V35" s="20">
        <v>3411.19</v>
      </c>
    </row>
    <row r="36" spans="1:22" ht="16.8" x14ac:dyDescent="0.3">
      <c r="A36" s="26">
        <v>3.6</v>
      </c>
      <c r="B36" s="26">
        <v>44.97</v>
      </c>
      <c r="C36" s="20">
        <v>50</v>
      </c>
      <c r="D36" s="20">
        <v>5.03</v>
      </c>
      <c r="E36" s="20">
        <v>-0.22</v>
      </c>
      <c r="F36" s="20">
        <v>1576.72</v>
      </c>
      <c r="Q36" s="20">
        <v>3.5</v>
      </c>
      <c r="R36" s="20">
        <v>50</v>
      </c>
      <c r="S36" s="20">
        <v>44.12</v>
      </c>
      <c r="T36" s="20">
        <v>5.88</v>
      </c>
      <c r="U36" s="20">
        <v>-0.5</v>
      </c>
      <c r="V36" s="20">
        <v>3404.92</v>
      </c>
    </row>
    <row r="37" spans="1:22" ht="16.8" x14ac:dyDescent="0.3">
      <c r="A37" s="26">
        <v>3.7</v>
      </c>
      <c r="B37" s="26">
        <v>45.3</v>
      </c>
      <c r="C37" s="20">
        <v>50</v>
      </c>
      <c r="D37" s="20">
        <v>4.7</v>
      </c>
      <c r="E37" s="20">
        <v>-0.33</v>
      </c>
      <c r="F37" s="20">
        <v>1533.9</v>
      </c>
      <c r="Q37" s="20">
        <v>3.6</v>
      </c>
      <c r="R37" s="20">
        <v>50</v>
      </c>
      <c r="S37" s="20">
        <v>44.62</v>
      </c>
      <c r="T37" s="20">
        <v>5.38</v>
      </c>
      <c r="U37" s="20">
        <v>-0.5</v>
      </c>
      <c r="V37" s="20">
        <v>3404.28</v>
      </c>
    </row>
    <row r="38" spans="1:22" ht="16.8" x14ac:dyDescent="0.3">
      <c r="A38" s="26">
        <v>3.8</v>
      </c>
      <c r="B38" s="26">
        <v>45.53</v>
      </c>
      <c r="C38" s="20">
        <v>50</v>
      </c>
      <c r="D38" s="20">
        <v>4.47</v>
      </c>
      <c r="E38" s="20">
        <v>-0.24</v>
      </c>
      <c r="F38" s="20">
        <v>1508.78</v>
      </c>
      <c r="Q38" s="20">
        <v>3.7</v>
      </c>
      <c r="R38" s="20">
        <v>50</v>
      </c>
      <c r="S38" s="20">
        <v>45.12</v>
      </c>
      <c r="T38" s="20">
        <v>4.88</v>
      </c>
      <c r="U38" s="20">
        <v>-0.5</v>
      </c>
      <c r="V38" s="20">
        <v>3403.66</v>
      </c>
    </row>
    <row r="39" spans="1:22" ht="16.8" x14ac:dyDescent="0.3">
      <c r="A39" s="26">
        <v>3.9</v>
      </c>
      <c r="B39" s="26">
        <v>45.75</v>
      </c>
      <c r="C39" s="20">
        <v>50</v>
      </c>
      <c r="D39" s="20">
        <v>4.25</v>
      </c>
      <c r="E39" s="20">
        <v>-0.21</v>
      </c>
      <c r="F39" s="20">
        <v>1485.54</v>
      </c>
      <c r="Q39" s="20">
        <v>3.8</v>
      </c>
      <c r="R39" s="20">
        <v>50</v>
      </c>
      <c r="S39" s="20">
        <v>45.62</v>
      </c>
      <c r="T39" s="20">
        <v>4.38</v>
      </c>
      <c r="U39" s="20">
        <v>-0.51</v>
      </c>
      <c r="V39" s="20">
        <v>3405.55</v>
      </c>
    </row>
    <row r="40" spans="1:22" ht="16.8" x14ac:dyDescent="0.3">
      <c r="A40" s="26">
        <v>4</v>
      </c>
      <c r="B40" s="26">
        <v>46</v>
      </c>
      <c r="C40" s="20">
        <v>50</v>
      </c>
      <c r="D40" s="20">
        <v>4</v>
      </c>
      <c r="E40" s="20">
        <v>-0.25</v>
      </c>
      <c r="F40" s="20">
        <v>1455.02</v>
      </c>
      <c r="Q40" s="20">
        <v>3.9</v>
      </c>
      <c r="R40" s="20">
        <v>50</v>
      </c>
      <c r="S40" s="20">
        <v>46.11</v>
      </c>
      <c r="T40" s="20">
        <v>3.89</v>
      </c>
      <c r="U40" s="20">
        <v>-0.48</v>
      </c>
      <c r="V40" s="20">
        <v>3401.77</v>
      </c>
    </row>
    <row r="41" spans="1:22" ht="16.8" x14ac:dyDescent="0.3">
      <c r="A41" s="26">
        <v>4.0999999999999996</v>
      </c>
      <c r="B41" s="26">
        <v>46.19</v>
      </c>
      <c r="C41" s="20">
        <v>50</v>
      </c>
      <c r="D41" s="20">
        <v>3.81</v>
      </c>
      <c r="E41" s="20">
        <v>-0.19</v>
      </c>
      <c r="F41" s="20">
        <v>1435.28</v>
      </c>
      <c r="Q41" s="20">
        <v>4</v>
      </c>
      <c r="R41" s="20">
        <v>50</v>
      </c>
      <c r="S41" s="20">
        <v>46.64</v>
      </c>
      <c r="T41" s="20">
        <v>3.36</v>
      </c>
      <c r="U41" s="20">
        <v>-0.54</v>
      </c>
      <c r="V41" s="20">
        <v>3409.96</v>
      </c>
    </row>
    <row r="42" spans="1:22" ht="16.8" x14ac:dyDescent="0.3">
      <c r="A42" s="26">
        <v>4.2</v>
      </c>
      <c r="B42" s="26">
        <v>46.4</v>
      </c>
      <c r="C42" s="20">
        <v>50</v>
      </c>
      <c r="D42" s="20">
        <v>3.6</v>
      </c>
      <c r="E42" s="20">
        <v>-0.21</v>
      </c>
      <c r="F42" s="20">
        <v>1409.7</v>
      </c>
      <c r="Q42" s="20">
        <v>4.0999999999999996</v>
      </c>
      <c r="R42" s="20">
        <v>50</v>
      </c>
      <c r="S42" s="20">
        <v>47.16</v>
      </c>
      <c r="T42" s="20">
        <v>2.84</v>
      </c>
      <c r="U42" s="20">
        <v>-0.52</v>
      </c>
      <c r="V42" s="20">
        <v>3240.89</v>
      </c>
    </row>
    <row r="43" spans="1:22" ht="16.8" x14ac:dyDescent="0.3">
      <c r="A43" s="26">
        <v>4.3</v>
      </c>
      <c r="B43" s="26">
        <v>46.59</v>
      </c>
      <c r="C43" s="20">
        <v>50</v>
      </c>
      <c r="D43" s="20">
        <v>3.41</v>
      </c>
      <c r="E43" s="20">
        <v>-0.19</v>
      </c>
      <c r="F43" s="20">
        <v>1387.68</v>
      </c>
      <c r="Q43" s="20">
        <v>4.2</v>
      </c>
      <c r="R43" s="20">
        <v>50</v>
      </c>
      <c r="S43" s="20">
        <v>47.65</v>
      </c>
      <c r="T43" s="20">
        <v>2.35</v>
      </c>
      <c r="U43" s="20">
        <v>-0.49</v>
      </c>
      <c r="V43" s="20">
        <v>2912.3</v>
      </c>
    </row>
    <row r="44" spans="1:22" ht="16.8" x14ac:dyDescent="0.3">
      <c r="A44" s="26">
        <v>4.4000000000000004</v>
      </c>
      <c r="B44" s="26">
        <v>46.71</v>
      </c>
      <c r="C44" s="20">
        <v>50</v>
      </c>
      <c r="D44" s="20">
        <v>3.29</v>
      </c>
      <c r="E44" s="20">
        <v>-0.12</v>
      </c>
      <c r="F44" s="20">
        <v>1378.25</v>
      </c>
      <c r="Q44" s="20">
        <v>4.3</v>
      </c>
      <c r="R44" s="20">
        <v>50</v>
      </c>
      <c r="S44" s="20">
        <v>47.96</v>
      </c>
      <c r="T44" s="20">
        <v>2.04</v>
      </c>
      <c r="U44" s="20">
        <v>-0.31</v>
      </c>
      <c r="V44" s="20">
        <v>2780.78</v>
      </c>
    </row>
    <row r="45" spans="1:22" ht="16.8" x14ac:dyDescent="0.3">
      <c r="A45" s="26">
        <v>4.5</v>
      </c>
      <c r="B45" s="26">
        <v>46.84</v>
      </c>
      <c r="C45" s="20">
        <v>50</v>
      </c>
      <c r="D45" s="20">
        <v>3.16</v>
      </c>
      <c r="E45" s="20">
        <v>-0.13</v>
      </c>
      <c r="F45" s="20">
        <v>1364.93</v>
      </c>
      <c r="Q45" s="20">
        <v>4.4000000000000004</v>
      </c>
      <c r="R45" s="20">
        <v>50</v>
      </c>
      <c r="S45" s="20">
        <v>48.44</v>
      </c>
      <c r="T45" s="20">
        <v>1.56</v>
      </c>
      <c r="U45" s="20">
        <v>-0.48</v>
      </c>
      <c r="V45" s="20">
        <v>2007.04</v>
      </c>
    </row>
    <row r="46" spans="1:22" ht="16.8" x14ac:dyDescent="0.3">
      <c r="A46" s="26">
        <v>4.5999999999999996</v>
      </c>
      <c r="B46" s="26">
        <v>46.93</v>
      </c>
      <c r="C46" s="20">
        <v>50</v>
      </c>
      <c r="D46" s="20">
        <v>3.07</v>
      </c>
      <c r="E46" s="20">
        <v>-0.09</v>
      </c>
      <c r="F46" s="20">
        <v>1358.63</v>
      </c>
      <c r="Q46" s="20">
        <v>4.5</v>
      </c>
      <c r="R46" s="20">
        <v>50</v>
      </c>
      <c r="S46" s="20">
        <v>48.91</v>
      </c>
      <c r="T46" s="20">
        <v>1.0900000000000001</v>
      </c>
      <c r="U46" s="20">
        <v>-0.48</v>
      </c>
      <c r="V46" s="20">
        <v>1800</v>
      </c>
    </row>
    <row r="47" spans="1:22" ht="16.8" x14ac:dyDescent="0.3">
      <c r="A47" s="26">
        <v>4.7</v>
      </c>
      <c r="B47" s="26">
        <v>47.02</v>
      </c>
      <c r="C47" s="20">
        <v>50</v>
      </c>
      <c r="D47" s="20">
        <v>2.98</v>
      </c>
      <c r="E47" s="20">
        <v>-0.09</v>
      </c>
      <c r="F47" s="20">
        <v>1350.64</v>
      </c>
      <c r="Q47" s="20">
        <v>4.5999999999999996</v>
      </c>
      <c r="R47" s="20">
        <v>50</v>
      </c>
      <c r="S47" s="20">
        <v>49.33</v>
      </c>
      <c r="T47" s="20">
        <v>0.67</v>
      </c>
      <c r="U47" s="20">
        <v>-0.42</v>
      </c>
      <c r="V47" s="20">
        <v>1630.34</v>
      </c>
    </row>
    <row r="48" spans="1:22" ht="16.8" x14ac:dyDescent="0.3">
      <c r="A48" s="26">
        <v>4.8</v>
      </c>
      <c r="B48" s="26">
        <v>47.15</v>
      </c>
      <c r="C48" s="20">
        <v>50</v>
      </c>
      <c r="D48" s="20">
        <v>2.85</v>
      </c>
      <c r="E48" s="20">
        <v>-0.13</v>
      </c>
      <c r="F48" s="20">
        <v>1335.48</v>
      </c>
      <c r="Q48" s="20">
        <v>4.7</v>
      </c>
      <c r="R48" s="20">
        <v>50</v>
      </c>
      <c r="S48" s="20">
        <v>49.76</v>
      </c>
      <c r="T48" s="20">
        <v>0.24</v>
      </c>
      <c r="U48" s="20">
        <v>-0.43</v>
      </c>
      <c r="V48" s="20">
        <v>1318.31</v>
      </c>
    </row>
    <row r="49" spans="1:22" ht="16.8" x14ac:dyDescent="0.3">
      <c r="A49" s="26">
        <v>4.9000000000000004</v>
      </c>
      <c r="B49" s="26">
        <v>47.2</v>
      </c>
      <c r="C49" s="20">
        <v>50</v>
      </c>
      <c r="D49" s="20">
        <v>2.8</v>
      </c>
      <c r="E49" s="20">
        <v>-0.04</v>
      </c>
      <c r="F49" s="20">
        <v>1336.36</v>
      </c>
      <c r="Q49" s="20">
        <v>4.8</v>
      </c>
      <c r="R49" s="20">
        <v>50</v>
      </c>
      <c r="S49" s="20">
        <v>50.16</v>
      </c>
      <c r="T49" s="20">
        <v>-0.16</v>
      </c>
      <c r="U49" s="20">
        <v>-0.4</v>
      </c>
      <c r="V49" s="20">
        <v>1050.26</v>
      </c>
    </row>
    <row r="50" spans="1:22" ht="16.8" x14ac:dyDescent="0.3">
      <c r="A50" s="26">
        <v>5</v>
      </c>
      <c r="B50" s="26">
        <v>47.33</v>
      </c>
      <c r="C50" s="20">
        <v>50</v>
      </c>
      <c r="D50" s="20">
        <v>2.67</v>
      </c>
      <c r="E50" s="20">
        <v>-0.13</v>
      </c>
      <c r="F50" s="20">
        <v>1319.86</v>
      </c>
      <c r="Q50" s="20">
        <v>4.9000000000000004</v>
      </c>
      <c r="R50" s="20">
        <v>50</v>
      </c>
      <c r="S50" s="20">
        <v>50.54</v>
      </c>
      <c r="T50" s="20">
        <v>-0.54</v>
      </c>
      <c r="U50" s="20">
        <v>-0.37</v>
      </c>
      <c r="V50" s="20">
        <v>930.33</v>
      </c>
    </row>
    <row r="51" spans="1:22" ht="16.8" x14ac:dyDescent="0.3">
      <c r="A51" s="26">
        <v>5.0999999999999996</v>
      </c>
      <c r="B51" s="26">
        <v>47.48</v>
      </c>
      <c r="C51" s="20">
        <v>50</v>
      </c>
      <c r="D51" s="20">
        <v>2.52</v>
      </c>
      <c r="E51" s="20">
        <v>-0.15</v>
      </c>
      <c r="F51" s="20">
        <v>1302.03</v>
      </c>
      <c r="Q51" s="20">
        <v>5</v>
      </c>
      <c r="R51" s="20">
        <v>50</v>
      </c>
      <c r="S51" s="20">
        <v>50.92</v>
      </c>
      <c r="T51" s="20">
        <v>-0.92</v>
      </c>
      <c r="U51" s="20">
        <v>-0.38</v>
      </c>
      <c r="V51" s="20">
        <v>59.98</v>
      </c>
    </row>
    <row r="52" spans="1:22" ht="16.8" x14ac:dyDescent="0.3">
      <c r="A52" s="26">
        <v>5.2</v>
      </c>
      <c r="B52" s="26">
        <v>47.61</v>
      </c>
      <c r="C52" s="20">
        <v>50</v>
      </c>
      <c r="D52" s="20">
        <v>2.39</v>
      </c>
      <c r="E52" s="20">
        <v>-0.12</v>
      </c>
      <c r="F52" s="20">
        <v>1288.44</v>
      </c>
      <c r="Q52" s="20">
        <v>5.0999999999999996</v>
      </c>
      <c r="R52" s="20">
        <v>50</v>
      </c>
      <c r="S52" s="20">
        <v>51.16</v>
      </c>
      <c r="T52" s="20">
        <v>-1.1599999999999999</v>
      </c>
      <c r="U52" s="20">
        <v>-0.24</v>
      </c>
      <c r="V52" s="20">
        <v>58.93</v>
      </c>
    </row>
    <row r="53" spans="1:22" ht="16.8" x14ac:dyDescent="0.3">
      <c r="A53" s="26">
        <v>5.3</v>
      </c>
      <c r="B53" s="26">
        <v>47.7</v>
      </c>
      <c r="C53" s="20">
        <v>50</v>
      </c>
      <c r="D53" s="20">
        <v>2.2999999999999998</v>
      </c>
      <c r="E53" s="20">
        <v>-0.1</v>
      </c>
      <c r="F53" s="20">
        <v>1279.04</v>
      </c>
      <c r="Q53" s="20">
        <v>5.2</v>
      </c>
      <c r="R53" s="20">
        <v>50</v>
      </c>
      <c r="S53" s="20">
        <v>51.45</v>
      </c>
      <c r="T53" s="20">
        <v>-1.45</v>
      </c>
      <c r="U53" s="20">
        <v>-0.28999999999999998</v>
      </c>
      <c r="V53" s="20">
        <v>61.69</v>
      </c>
    </row>
    <row r="54" spans="1:22" ht="16.8" x14ac:dyDescent="0.3">
      <c r="A54" s="26">
        <v>5.4</v>
      </c>
      <c r="B54" s="26">
        <v>47.88</v>
      </c>
      <c r="C54" s="20">
        <v>50</v>
      </c>
      <c r="D54" s="20">
        <v>2.12</v>
      </c>
      <c r="E54" s="20">
        <v>-0.18</v>
      </c>
      <c r="F54" s="20">
        <v>1254.78</v>
      </c>
      <c r="Q54" s="20">
        <v>5.3</v>
      </c>
      <c r="R54" s="20">
        <v>50</v>
      </c>
      <c r="S54" s="20">
        <v>51.63</v>
      </c>
      <c r="T54" s="20">
        <v>-1.63</v>
      </c>
      <c r="U54" s="20">
        <v>-0.18</v>
      </c>
      <c r="V54" s="20">
        <v>55.73</v>
      </c>
    </row>
    <row r="55" spans="1:22" ht="16.8" x14ac:dyDescent="0.3">
      <c r="A55" s="26">
        <v>5.5</v>
      </c>
      <c r="B55" s="26">
        <v>47.96</v>
      </c>
      <c r="C55" s="20">
        <v>50</v>
      </c>
      <c r="D55" s="20">
        <v>2.04</v>
      </c>
      <c r="E55" s="20">
        <v>-0.08</v>
      </c>
      <c r="F55" s="20">
        <v>1247.97</v>
      </c>
      <c r="Q55" s="20">
        <v>5.4</v>
      </c>
      <c r="R55" s="20">
        <v>50</v>
      </c>
      <c r="S55" s="20">
        <v>51.82</v>
      </c>
      <c r="T55" s="20">
        <v>-1.82</v>
      </c>
      <c r="U55" s="20">
        <v>-0.19</v>
      </c>
      <c r="V55" s="20">
        <v>56.47</v>
      </c>
    </row>
    <row r="56" spans="1:22" ht="16.8" x14ac:dyDescent="0.3">
      <c r="A56" s="26">
        <v>5.6</v>
      </c>
      <c r="B56" s="26">
        <v>48.1</v>
      </c>
      <c r="C56" s="20">
        <v>50</v>
      </c>
      <c r="D56" s="20">
        <v>1.9</v>
      </c>
      <c r="E56" s="20">
        <v>-0.13</v>
      </c>
      <c r="F56" s="20">
        <v>1230.6600000000001</v>
      </c>
      <c r="Q56" s="20">
        <v>5.5</v>
      </c>
      <c r="R56" s="20">
        <v>50</v>
      </c>
      <c r="S56" s="20">
        <v>51.88</v>
      </c>
      <c r="T56" s="20">
        <v>-1.88</v>
      </c>
      <c r="U56" s="20">
        <v>-0.06</v>
      </c>
      <c r="V56" s="20">
        <v>53.71</v>
      </c>
    </row>
    <row r="57" spans="1:22" ht="16.8" x14ac:dyDescent="0.3">
      <c r="A57" s="26">
        <v>5.7</v>
      </c>
      <c r="B57" s="26">
        <v>48.21</v>
      </c>
      <c r="C57" s="20">
        <v>50</v>
      </c>
      <c r="D57" s="20">
        <v>1.79</v>
      </c>
      <c r="E57" s="20">
        <v>-0.12</v>
      </c>
      <c r="F57" s="20">
        <v>1216.8699999999999</v>
      </c>
      <c r="Q57" s="20">
        <v>5.6</v>
      </c>
      <c r="R57" s="20">
        <v>50</v>
      </c>
      <c r="S57" s="20">
        <v>52.01</v>
      </c>
      <c r="T57" s="20">
        <v>-2.0099999999999998</v>
      </c>
      <c r="U57" s="20">
        <v>-0.12</v>
      </c>
      <c r="V57" s="20">
        <v>55.35</v>
      </c>
    </row>
    <row r="58" spans="1:22" ht="16.8" x14ac:dyDescent="0.3">
      <c r="A58" s="26">
        <v>5.8</v>
      </c>
      <c r="B58" s="26">
        <v>48.32</v>
      </c>
      <c r="C58" s="20">
        <v>50</v>
      </c>
      <c r="D58" s="20">
        <v>1.68</v>
      </c>
      <c r="E58" s="20">
        <v>-0.1</v>
      </c>
      <c r="F58" s="20">
        <v>1205.33</v>
      </c>
      <c r="Q58" s="20">
        <v>5.7</v>
      </c>
      <c r="R58" s="20">
        <v>50</v>
      </c>
      <c r="S58" s="20">
        <v>52.03</v>
      </c>
      <c r="T58" s="20">
        <v>-2.0299999999999998</v>
      </c>
      <c r="U58" s="20">
        <v>-0.02</v>
      </c>
      <c r="V58" s="20">
        <v>55.64</v>
      </c>
    </row>
    <row r="59" spans="1:22" ht="16.8" x14ac:dyDescent="0.3">
      <c r="A59" s="26">
        <v>5.9</v>
      </c>
      <c r="B59" s="26">
        <v>48.45</v>
      </c>
      <c r="C59" s="20">
        <v>50</v>
      </c>
      <c r="D59" s="20">
        <v>1.55</v>
      </c>
      <c r="E59" s="20">
        <v>-0.13</v>
      </c>
      <c r="F59" s="20">
        <v>1187.6099999999999</v>
      </c>
      <c r="Q59" s="20">
        <v>5.8</v>
      </c>
      <c r="R59" s="20">
        <v>50</v>
      </c>
      <c r="S59" s="20">
        <v>52.03</v>
      </c>
      <c r="T59" s="20">
        <v>-2.0299999999999998</v>
      </c>
      <c r="U59" s="20">
        <v>0</v>
      </c>
      <c r="V59" s="20">
        <v>55.7</v>
      </c>
    </row>
    <row r="60" spans="1:22" ht="16.8" x14ac:dyDescent="0.3">
      <c r="A60" s="26">
        <v>6</v>
      </c>
      <c r="B60" s="26">
        <v>48.52</v>
      </c>
      <c r="C60" s="20">
        <v>50</v>
      </c>
      <c r="D60" s="20">
        <v>1.48</v>
      </c>
      <c r="E60" s="20">
        <v>-7.0000000000000007E-2</v>
      </c>
      <c r="F60" s="20">
        <v>1181.54</v>
      </c>
      <c r="Q60" s="20">
        <v>5.9</v>
      </c>
      <c r="R60" s="20">
        <v>50</v>
      </c>
      <c r="S60" s="20">
        <v>51.99</v>
      </c>
      <c r="T60" s="20">
        <v>-1.99</v>
      </c>
      <c r="U60" s="20">
        <v>0.04</v>
      </c>
      <c r="V60" s="20">
        <v>55.18</v>
      </c>
    </row>
    <row r="61" spans="1:22" ht="16.8" x14ac:dyDescent="0.3">
      <c r="A61" s="20">
        <v>6.1</v>
      </c>
      <c r="B61" s="20">
        <v>48.6</v>
      </c>
      <c r="C61" s="20">
        <v>50</v>
      </c>
      <c r="D61" s="20">
        <v>1.4</v>
      </c>
      <c r="E61" s="20">
        <v>-0.08</v>
      </c>
      <c r="F61" s="20">
        <v>1171.93</v>
      </c>
      <c r="Q61" s="20">
        <v>6</v>
      </c>
      <c r="R61" s="20">
        <v>50</v>
      </c>
      <c r="S61" s="20">
        <v>51.93</v>
      </c>
      <c r="T61" s="20">
        <v>-1.93</v>
      </c>
      <c r="U61" s="20">
        <v>7.0000000000000007E-2</v>
      </c>
      <c r="V61" s="20">
        <v>54.25</v>
      </c>
    </row>
    <row r="62" spans="1:22" ht="16.8" x14ac:dyDescent="0.3">
      <c r="A62" s="20">
        <v>6.2</v>
      </c>
      <c r="B62" s="20">
        <v>48.73</v>
      </c>
      <c r="C62" s="20">
        <v>50</v>
      </c>
      <c r="D62" s="20">
        <v>1.27</v>
      </c>
      <c r="E62" s="20">
        <v>-0.13</v>
      </c>
      <c r="F62" s="20">
        <v>1153.22</v>
      </c>
      <c r="Q62" s="20">
        <v>6.1</v>
      </c>
      <c r="R62" s="20">
        <v>50</v>
      </c>
      <c r="S62" s="20">
        <v>51.82</v>
      </c>
      <c r="T62" s="20">
        <v>-1.82</v>
      </c>
      <c r="U62" s="20">
        <v>0.1</v>
      </c>
      <c r="V62" s="20">
        <v>53.08</v>
      </c>
    </row>
    <row r="63" spans="1:22" ht="16.8" x14ac:dyDescent="0.3">
      <c r="A63" s="20">
        <v>6.3</v>
      </c>
      <c r="B63" s="20">
        <v>48.85</v>
      </c>
      <c r="C63" s="20">
        <v>50</v>
      </c>
      <c r="D63" s="20">
        <v>1.1499999999999999</v>
      </c>
      <c r="E63" s="20">
        <v>-0.12</v>
      </c>
      <c r="F63" s="20">
        <v>1138.0899999999999</v>
      </c>
      <c r="Q63" s="20">
        <v>6.2</v>
      </c>
      <c r="R63" s="20">
        <v>50</v>
      </c>
      <c r="S63" s="20">
        <v>51.71</v>
      </c>
      <c r="T63" s="20">
        <v>-1.71</v>
      </c>
      <c r="U63" s="20">
        <v>0.11</v>
      </c>
      <c r="V63" s="20">
        <v>53.23</v>
      </c>
    </row>
    <row r="64" spans="1:22" ht="16.8" x14ac:dyDescent="0.3">
      <c r="A64" s="20">
        <v>6.4</v>
      </c>
      <c r="B64" s="20">
        <v>48.94</v>
      </c>
      <c r="C64" s="20">
        <v>50</v>
      </c>
      <c r="D64" s="20">
        <v>1.06</v>
      </c>
      <c r="E64" s="20">
        <v>-0.09</v>
      </c>
      <c r="F64" s="20">
        <v>1127.3399999999999</v>
      </c>
      <c r="Q64" s="20">
        <v>6.3</v>
      </c>
      <c r="R64" s="20">
        <v>50</v>
      </c>
      <c r="S64" s="20">
        <v>51.57</v>
      </c>
      <c r="T64" s="20">
        <v>-1.57</v>
      </c>
      <c r="U64" s="20">
        <v>0.14000000000000001</v>
      </c>
      <c r="V64" s="20">
        <v>54.07</v>
      </c>
    </row>
    <row r="65" spans="1:22" ht="16.8" x14ac:dyDescent="0.3">
      <c r="A65" s="20">
        <v>6.5</v>
      </c>
      <c r="B65" s="20">
        <v>49.04</v>
      </c>
      <c r="C65" s="20">
        <v>50</v>
      </c>
      <c r="D65" s="20">
        <v>0.96</v>
      </c>
      <c r="E65" s="20">
        <v>-0.1</v>
      </c>
      <c r="F65" s="20">
        <v>1113.01</v>
      </c>
      <c r="Q65" s="20">
        <v>6.4</v>
      </c>
      <c r="R65" s="20">
        <v>50</v>
      </c>
      <c r="S65" s="20">
        <v>51.49</v>
      </c>
      <c r="T65" s="20">
        <v>-1.49</v>
      </c>
      <c r="U65" s="20">
        <v>0.08</v>
      </c>
      <c r="V65" s="20">
        <v>52.31</v>
      </c>
    </row>
    <row r="66" spans="1:22" ht="16.8" x14ac:dyDescent="0.3">
      <c r="A66" s="20">
        <v>6.6</v>
      </c>
      <c r="B66" s="20">
        <v>49.13</v>
      </c>
      <c r="C66" s="20">
        <v>50</v>
      </c>
      <c r="D66" s="20">
        <v>0.87</v>
      </c>
      <c r="E66" s="20">
        <v>-0.09</v>
      </c>
      <c r="F66" s="20">
        <v>1100.9100000000001</v>
      </c>
      <c r="Q66" s="20">
        <v>6.5</v>
      </c>
      <c r="R66" s="20">
        <v>50</v>
      </c>
      <c r="S66" s="20">
        <v>51.35</v>
      </c>
      <c r="T66" s="20">
        <v>-1.35</v>
      </c>
      <c r="U66" s="20">
        <v>0.14000000000000001</v>
      </c>
      <c r="V66" s="20">
        <v>54.22</v>
      </c>
    </row>
    <row r="67" spans="1:22" ht="16.8" x14ac:dyDescent="0.3">
      <c r="A67" s="20">
        <v>6.7</v>
      </c>
      <c r="B67" s="20">
        <v>49.21</v>
      </c>
      <c r="C67" s="20">
        <v>50</v>
      </c>
      <c r="D67" s="20">
        <v>0.79</v>
      </c>
      <c r="E67" s="20">
        <v>-0.08</v>
      </c>
      <c r="F67" s="20">
        <v>1090.48</v>
      </c>
      <c r="Q67" s="20">
        <v>6.6</v>
      </c>
      <c r="R67" s="20">
        <v>50</v>
      </c>
      <c r="S67" s="20">
        <v>51.15</v>
      </c>
      <c r="T67" s="20">
        <v>-1.1499999999999999</v>
      </c>
      <c r="U67" s="20">
        <v>0.2</v>
      </c>
      <c r="V67" s="20">
        <v>56.86</v>
      </c>
    </row>
    <row r="68" spans="1:22" ht="16.8" x14ac:dyDescent="0.3">
      <c r="A68" s="20">
        <v>6.8</v>
      </c>
      <c r="B68" s="20">
        <v>49.26</v>
      </c>
      <c r="C68" s="20">
        <v>50</v>
      </c>
      <c r="D68" s="20">
        <v>0.74</v>
      </c>
      <c r="E68" s="20">
        <v>-0.04</v>
      </c>
      <c r="F68" s="20">
        <v>1085.99</v>
      </c>
      <c r="Q68" s="20">
        <v>6.7</v>
      </c>
      <c r="R68" s="20">
        <v>50</v>
      </c>
      <c r="S68" s="20">
        <v>51.02</v>
      </c>
      <c r="T68" s="20">
        <v>-1.02</v>
      </c>
      <c r="U68" s="20">
        <v>0.13</v>
      </c>
      <c r="V68" s="20">
        <v>55</v>
      </c>
    </row>
    <row r="69" spans="1:22" ht="16.8" x14ac:dyDescent="0.3">
      <c r="A69" s="20">
        <v>6.9</v>
      </c>
      <c r="B69" s="20">
        <v>49.35</v>
      </c>
      <c r="C69" s="20">
        <v>50</v>
      </c>
      <c r="D69" s="20">
        <v>0.65</v>
      </c>
      <c r="E69" s="20">
        <v>-0.09</v>
      </c>
      <c r="F69" s="20">
        <v>1072.21</v>
      </c>
      <c r="Q69" s="20">
        <v>6.8</v>
      </c>
      <c r="R69" s="20">
        <v>50</v>
      </c>
      <c r="S69" s="20">
        <v>50.92</v>
      </c>
      <c r="T69" s="20">
        <v>-0.92</v>
      </c>
      <c r="U69" s="20">
        <v>0.1</v>
      </c>
      <c r="V69" s="20">
        <v>56.44</v>
      </c>
    </row>
    <row r="70" spans="1:22" ht="16.8" x14ac:dyDescent="0.3">
      <c r="A70" s="20">
        <v>7</v>
      </c>
      <c r="B70" s="20">
        <v>49.42</v>
      </c>
      <c r="C70" s="20">
        <v>50</v>
      </c>
      <c r="D70" s="20">
        <v>0.57999999999999996</v>
      </c>
      <c r="E70" s="20">
        <v>-7.0000000000000007E-2</v>
      </c>
      <c r="F70" s="20">
        <v>1062.74</v>
      </c>
      <c r="Q70" s="20">
        <v>6.9</v>
      </c>
      <c r="R70" s="20">
        <v>50</v>
      </c>
      <c r="S70" s="20">
        <v>50.69</v>
      </c>
      <c r="T70" s="20">
        <v>-0.69</v>
      </c>
      <c r="U70" s="20">
        <v>0.23</v>
      </c>
      <c r="V70" s="20">
        <v>1207.08</v>
      </c>
    </row>
    <row r="71" spans="1:22" ht="16.8" x14ac:dyDescent="0.3">
      <c r="A71" s="20">
        <v>7.1</v>
      </c>
      <c r="B71" s="20">
        <v>49.49</v>
      </c>
      <c r="C71" s="20">
        <v>50</v>
      </c>
      <c r="D71" s="20">
        <v>0.51</v>
      </c>
      <c r="E71" s="20">
        <v>-7.0000000000000007E-2</v>
      </c>
      <c r="F71" s="20">
        <v>1053.4100000000001</v>
      </c>
      <c r="Q71" s="20">
        <v>7</v>
      </c>
      <c r="R71" s="20">
        <v>50</v>
      </c>
      <c r="S71" s="20">
        <v>50.6</v>
      </c>
      <c r="T71" s="20">
        <v>-0.6</v>
      </c>
      <c r="U71" s="20">
        <v>0.09</v>
      </c>
      <c r="V71" s="20">
        <v>1170.77</v>
      </c>
    </row>
    <row r="72" spans="1:22" ht="16.8" x14ac:dyDescent="0.3">
      <c r="A72" s="20">
        <v>7.2</v>
      </c>
      <c r="B72" s="20">
        <v>49.55</v>
      </c>
      <c r="C72" s="20">
        <v>50</v>
      </c>
      <c r="D72" s="20">
        <v>0.45</v>
      </c>
      <c r="E72" s="20">
        <v>-0.06</v>
      </c>
      <c r="F72" s="20">
        <v>1045.27</v>
      </c>
      <c r="Q72" s="20">
        <v>7.1</v>
      </c>
      <c r="R72" s="20">
        <v>50</v>
      </c>
      <c r="S72" s="20">
        <v>50.43</v>
      </c>
      <c r="T72" s="20">
        <v>-0.43</v>
      </c>
      <c r="U72" s="20">
        <v>0.17</v>
      </c>
      <c r="V72" s="20">
        <v>1276.6300000000001</v>
      </c>
    </row>
    <row r="73" spans="1:22" ht="16.8" x14ac:dyDescent="0.3">
      <c r="A73" s="20">
        <v>7.3</v>
      </c>
      <c r="B73" s="20">
        <v>49.59</v>
      </c>
      <c r="C73" s="20">
        <v>50</v>
      </c>
      <c r="D73" s="20">
        <v>0.41</v>
      </c>
      <c r="E73" s="20">
        <v>-0.04</v>
      </c>
      <c r="F73" s="20">
        <v>1040.3699999999999</v>
      </c>
      <c r="Q73" s="20">
        <v>7.2</v>
      </c>
      <c r="R73" s="20">
        <v>50</v>
      </c>
      <c r="S73" s="20">
        <v>50.29</v>
      </c>
      <c r="T73" s="20">
        <v>-0.28999999999999998</v>
      </c>
      <c r="U73" s="20">
        <v>0.14000000000000001</v>
      </c>
      <c r="V73" s="20">
        <v>1254.72</v>
      </c>
    </row>
    <row r="74" spans="1:22" ht="16.8" x14ac:dyDescent="0.3">
      <c r="A74" s="20">
        <v>7.4</v>
      </c>
      <c r="B74" s="20">
        <v>49.66</v>
      </c>
      <c r="C74" s="20">
        <v>50</v>
      </c>
      <c r="D74" s="20">
        <v>0.34</v>
      </c>
      <c r="E74" s="20">
        <v>-0.06</v>
      </c>
      <c r="F74" s="20">
        <v>1030.75</v>
      </c>
      <c r="Q74" s="20">
        <v>7.3</v>
      </c>
      <c r="R74" s="20">
        <v>50</v>
      </c>
      <c r="S74" s="20">
        <v>50.19</v>
      </c>
      <c r="T74" s="20">
        <v>-0.19</v>
      </c>
      <c r="U74" s="20">
        <v>0.1</v>
      </c>
      <c r="V74" s="20">
        <v>1218.98</v>
      </c>
    </row>
    <row r="75" spans="1:22" ht="16.8" x14ac:dyDescent="0.3">
      <c r="A75" s="20">
        <v>7.5</v>
      </c>
      <c r="B75" s="20">
        <v>49.68</v>
      </c>
      <c r="C75" s="20">
        <v>50</v>
      </c>
      <c r="D75" s="20">
        <v>0.32</v>
      </c>
      <c r="E75" s="20">
        <v>-0.02</v>
      </c>
      <c r="F75" s="20">
        <v>1028.53</v>
      </c>
      <c r="Q75" s="20">
        <v>7.4</v>
      </c>
      <c r="R75" s="20">
        <v>50</v>
      </c>
      <c r="S75" s="20">
        <v>50</v>
      </c>
      <c r="T75" s="20">
        <v>0</v>
      </c>
      <c r="U75" s="20">
        <v>0.19</v>
      </c>
      <c r="V75" s="20">
        <v>1362.58</v>
      </c>
    </row>
    <row r="76" spans="1:22" ht="16.8" x14ac:dyDescent="0.3">
      <c r="A76" s="20">
        <v>7.6</v>
      </c>
      <c r="B76" s="20">
        <v>49.75</v>
      </c>
      <c r="C76" s="20">
        <v>50</v>
      </c>
      <c r="D76" s="20">
        <v>0.25</v>
      </c>
      <c r="E76" s="20">
        <v>-7.0000000000000007E-2</v>
      </c>
      <c r="F76" s="20">
        <v>1016.99</v>
      </c>
      <c r="Q76" s="20">
        <v>7.5</v>
      </c>
      <c r="R76" s="20">
        <v>50</v>
      </c>
      <c r="S76" s="20">
        <v>49.95</v>
      </c>
      <c r="T76" s="20">
        <v>0.05</v>
      </c>
      <c r="U76" s="20">
        <v>0.05</v>
      </c>
      <c r="V76" s="20">
        <v>1191.47</v>
      </c>
    </row>
    <row r="77" spans="1:22" ht="16.8" x14ac:dyDescent="0.3">
      <c r="A77" s="20">
        <v>7.7</v>
      </c>
      <c r="B77" s="20">
        <v>49.82</v>
      </c>
      <c r="C77" s="20">
        <v>50</v>
      </c>
      <c r="D77" s="20">
        <v>0.18</v>
      </c>
      <c r="E77" s="20">
        <v>-0.06</v>
      </c>
      <c r="F77" s="20">
        <v>1007.68</v>
      </c>
      <c r="Q77" s="20">
        <v>7.6</v>
      </c>
      <c r="R77" s="20">
        <v>50</v>
      </c>
      <c r="S77" s="20">
        <v>49.87</v>
      </c>
      <c r="T77" s="20">
        <v>0.13</v>
      </c>
      <c r="U77" s="20">
        <v>0.08</v>
      </c>
      <c r="V77" s="20">
        <v>1232.57</v>
      </c>
    </row>
    <row r="78" spans="1:22" ht="16.8" x14ac:dyDescent="0.3">
      <c r="A78" s="20">
        <v>7.8</v>
      </c>
      <c r="B78" s="20">
        <v>49.85</v>
      </c>
      <c r="C78" s="20">
        <v>50</v>
      </c>
      <c r="D78" s="20">
        <v>0.15</v>
      </c>
      <c r="E78" s="20">
        <v>-0.04</v>
      </c>
      <c r="F78" s="20">
        <v>1003</v>
      </c>
      <c r="Q78" s="20">
        <v>7.7</v>
      </c>
      <c r="R78" s="20">
        <v>50</v>
      </c>
      <c r="S78" s="20">
        <v>49.83</v>
      </c>
      <c r="T78" s="20">
        <v>0.17</v>
      </c>
      <c r="U78" s="20">
        <v>0.04</v>
      </c>
      <c r="V78" s="20">
        <v>1244.74</v>
      </c>
    </row>
    <row r="79" spans="1:22" ht="16.8" x14ac:dyDescent="0.3">
      <c r="A79" s="20">
        <v>7.9</v>
      </c>
      <c r="B79" s="20">
        <v>49.91</v>
      </c>
      <c r="C79" s="20">
        <v>50</v>
      </c>
      <c r="D79" s="20">
        <v>0.09</v>
      </c>
      <c r="E79" s="20">
        <v>-0.06</v>
      </c>
      <c r="F79" s="20">
        <v>993.46</v>
      </c>
      <c r="Q79" s="20">
        <v>7.8</v>
      </c>
      <c r="R79" s="20">
        <v>50</v>
      </c>
      <c r="S79" s="20">
        <v>49.82</v>
      </c>
      <c r="T79" s="20">
        <v>0.18</v>
      </c>
      <c r="U79" s="20">
        <v>0.02</v>
      </c>
      <c r="V79" s="20">
        <v>1256.54</v>
      </c>
    </row>
    <row r="80" spans="1:22" ht="16.8" x14ac:dyDescent="0.3">
      <c r="A80" s="20">
        <v>8</v>
      </c>
      <c r="B80" s="20">
        <v>49.97</v>
      </c>
      <c r="C80" s="20">
        <v>50</v>
      </c>
      <c r="D80" s="20">
        <v>0.03</v>
      </c>
      <c r="E80" s="20">
        <v>-0.05</v>
      </c>
      <c r="F80" s="20">
        <v>985.68</v>
      </c>
      <c r="Q80" s="20">
        <v>7.9</v>
      </c>
      <c r="R80" s="20">
        <v>50</v>
      </c>
      <c r="S80" s="20">
        <v>49.77</v>
      </c>
      <c r="T80" s="20">
        <v>0.23</v>
      </c>
      <c r="U80" s="20">
        <v>0.05</v>
      </c>
      <c r="V80" s="20">
        <v>1293.49</v>
      </c>
    </row>
    <row r="81" spans="1:22" ht="16.8" x14ac:dyDescent="0.3">
      <c r="A81" s="20">
        <v>8.1</v>
      </c>
      <c r="B81" s="20">
        <v>50.02</v>
      </c>
      <c r="C81" s="20">
        <v>50</v>
      </c>
      <c r="D81" s="20">
        <v>-0.02</v>
      </c>
      <c r="E81" s="20">
        <v>-0.05</v>
      </c>
      <c r="F81" s="20">
        <v>978.34</v>
      </c>
      <c r="Q81" s="20">
        <v>8</v>
      </c>
      <c r="R81" s="20">
        <v>50</v>
      </c>
      <c r="S81" s="20">
        <v>49.77</v>
      </c>
      <c r="T81" s="20">
        <v>0.23</v>
      </c>
      <c r="U81" s="20">
        <v>0</v>
      </c>
      <c r="V81" s="20">
        <v>1293.49</v>
      </c>
    </row>
    <row r="82" spans="1:22" ht="16.8" x14ac:dyDescent="0.3">
      <c r="A82" s="20">
        <v>8.1999999999999993</v>
      </c>
      <c r="B82" s="20">
        <v>50.02</v>
      </c>
      <c r="C82" s="20">
        <v>50</v>
      </c>
      <c r="D82" s="20">
        <v>-0.02</v>
      </c>
      <c r="E82" s="20">
        <v>0</v>
      </c>
      <c r="F82" s="20">
        <v>979.27</v>
      </c>
      <c r="Q82" s="20">
        <v>8.1</v>
      </c>
      <c r="R82" s="20">
        <v>50</v>
      </c>
      <c r="S82" s="20">
        <v>49.76</v>
      </c>
      <c r="T82" s="20">
        <v>0.24</v>
      </c>
      <c r="U82" s="20">
        <v>0</v>
      </c>
      <c r="V82" s="20">
        <v>1296.27</v>
      </c>
    </row>
    <row r="83" spans="1:22" ht="16.8" x14ac:dyDescent="0.3">
      <c r="A83" s="20">
        <v>8.3000000000000007</v>
      </c>
      <c r="B83" s="20">
        <v>50.08</v>
      </c>
      <c r="C83" s="20">
        <v>50</v>
      </c>
      <c r="D83" s="20">
        <v>-0.08</v>
      </c>
      <c r="E83" s="20">
        <v>-7.0000000000000007E-2</v>
      </c>
      <c r="F83" s="20">
        <v>967.25</v>
      </c>
      <c r="Q83" s="20">
        <v>8.1999999999999993</v>
      </c>
      <c r="R83" s="20">
        <v>50</v>
      </c>
      <c r="S83" s="20">
        <v>49.79</v>
      </c>
      <c r="T83" s="20">
        <v>0.21</v>
      </c>
      <c r="U83" s="20">
        <v>-0.03</v>
      </c>
      <c r="V83" s="20">
        <v>1276.68</v>
      </c>
    </row>
    <row r="84" spans="1:22" ht="16.8" x14ac:dyDescent="0.3">
      <c r="A84" s="20">
        <v>8.4</v>
      </c>
      <c r="B84" s="20">
        <v>50.12</v>
      </c>
      <c r="C84" s="20">
        <v>50</v>
      </c>
      <c r="D84" s="20">
        <v>-0.12</v>
      </c>
      <c r="E84" s="20">
        <v>-0.04</v>
      </c>
      <c r="F84" s="20">
        <v>961.39</v>
      </c>
      <c r="Q84" s="20">
        <v>8.3000000000000007</v>
      </c>
      <c r="R84" s="20">
        <v>50</v>
      </c>
      <c r="S84" s="20">
        <v>49.83</v>
      </c>
      <c r="T84" s="20">
        <v>0.17</v>
      </c>
      <c r="U84" s="20">
        <v>-0.04</v>
      </c>
      <c r="V84" s="20">
        <v>1247.72</v>
      </c>
    </row>
    <row r="85" spans="1:22" ht="16.8" x14ac:dyDescent="0.3">
      <c r="A85" s="20">
        <v>8.5</v>
      </c>
      <c r="B85" s="20">
        <v>50.16</v>
      </c>
      <c r="C85" s="20">
        <v>50</v>
      </c>
      <c r="D85" s="20">
        <v>-0.16</v>
      </c>
      <c r="E85" s="20">
        <v>-0.04</v>
      </c>
      <c r="F85" s="20">
        <v>954.89</v>
      </c>
      <c r="Q85" s="20">
        <v>8.4</v>
      </c>
      <c r="R85" s="20">
        <v>50</v>
      </c>
      <c r="S85" s="20">
        <v>49.89</v>
      </c>
      <c r="T85" s="20">
        <v>0.11</v>
      </c>
      <c r="U85" s="20">
        <v>-0.06</v>
      </c>
      <c r="V85" s="20">
        <v>1197.82</v>
      </c>
    </row>
    <row r="86" spans="1:22" ht="16.8" x14ac:dyDescent="0.3">
      <c r="A86" s="20">
        <v>8.6</v>
      </c>
      <c r="B86" s="20">
        <v>50.18</v>
      </c>
      <c r="C86" s="20">
        <v>50</v>
      </c>
      <c r="D86" s="20">
        <v>-0.18</v>
      </c>
      <c r="E86" s="20">
        <v>-0.02</v>
      </c>
      <c r="F86" s="20">
        <v>951.82</v>
      </c>
      <c r="Q86" s="20">
        <v>8.5</v>
      </c>
      <c r="R86" s="20">
        <v>50</v>
      </c>
      <c r="S86" s="20">
        <v>49.93</v>
      </c>
      <c r="T86" s="20">
        <v>7.0000000000000007E-2</v>
      </c>
      <c r="U86" s="20">
        <v>-0.04</v>
      </c>
      <c r="V86" s="20">
        <v>1163.42</v>
      </c>
    </row>
    <row r="87" spans="1:22" ht="16.8" x14ac:dyDescent="0.3">
      <c r="A87" s="20">
        <v>8.6999999999999993</v>
      </c>
      <c r="B87" s="20">
        <v>50.21</v>
      </c>
      <c r="C87" s="20">
        <v>50</v>
      </c>
      <c r="D87" s="20">
        <v>-0.21</v>
      </c>
      <c r="E87" s="20">
        <v>-0.03</v>
      </c>
      <c r="F87" s="20">
        <v>946.9</v>
      </c>
      <c r="Q87" s="20">
        <v>8.6</v>
      </c>
      <c r="R87" s="20">
        <v>50</v>
      </c>
      <c r="S87" s="20">
        <v>49.91</v>
      </c>
      <c r="T87" s="20">
        <v>0.09</v>
      </c>
      <c r="U87" s="20">
        <v>0.02</v>
      </c>
      <c r="V87" s="20">
        <v>1184.4100000000001</v>
      </c>
    </row>
    <row r="88" spans="1:22" ht="16.8" x14ac:dyDescent="0.3">
      <c r="A88" s="20">
        <v>8.8000000000000007</v>
      </c>
      <c r="B88" s="20">
        <v>50.24</v>
      </c>
      <c r="C88" s="20">
        <v>50</v>
      </c>
      <c r="D88" s="20">
        <v>-0.24</v>
      </c>
      <c r="E88" s="20">
        <v>-0.02</v>
      </c>
      <c r="F88" s="20">
        <v>942.79</v>
      </c>
      <c r="Q88" s="20">
        <v>8.6999999999999993</v>
      </c>
      <c r="R88" s="20">
        <v>50</v>
      </c>
      <c r="S88" s="20">
        <v>50</v>
      </c>
      <c r="T88" s="20">
        <v>0</v>
      </c>
      <c r="U88" s="20">
        <v>-0.08</v>
      </c>
      <c r="V88" s="20">
        <v>1105.18</v>
      </c>
    </row>
    <row r="89" spans="1:22" ht="16.8" x14ac:dyDescent="0.3">
      <c r="A89" s="20">
        <v>8.9</v>
      </c>
      <c r="B89" s="20">
        <v>50.26</v>
      </c>
      <c r="C89" s="20">
        <v>50</v>
      </c>
      <c r="D89" s="20">
        <v>-0.26</v>
      </c>
      <c r="E89" s="20">
        <v>-0.02</v>
      </c>
      <c r="F89" s="20">
        <v>938.54</v>
      </c>
      <c r="Q89" s="20">
        <v>8.8000000000000007</v>
      </c>
      <c r="R89" s="20">
        <v>50</v>
      </c>
      <c r="S89" s="20">
        <v>50.03</v>
      </c>
      <c r="T89" s="20">
        <v>-0.03</v>
      </c>
      <c r="U89" s="20">
        <v>-0.03</v>
      </c>
      <c r="V89" s="20">
        <v>1093.1300000000001</v>
      </c>
    </row>
    <row r="90" spans="1:22" ht="16.8" x14ac:dyDescent="0.3">
      <c r="A90" s="20">
        <v>9</v>
      </c>
      <c r="B90" s="20">
        <v>50.29</v>
      </c>
      <c r="C90" s="20">
        <v>50</v>
      </c>
      <c r="D90" s="20">
        <v>-0.28999999999999998</v>
      </c>
      <c r="E90" s="20">
        <v>-0.02</v>
      </c>
      <c r="F90" s="20">
        <v>934.25</v>
      </c>
      <c r="Q90" s="20">
        <v>8.9</v>
      </c>
      <c r="R90" s="20">
        <v>50</v>
      </c>
      <c r="S90" s="20">
        <v>50.12</v>
      </c>
      <c r="T90" s="20">
        <v>-0.12</v>
      </c>
      <c r="U90" s="20">
        <v>-0.09</v>
      </c>
      <c r="V90" s="20">
        <v>1071.6300000000001</v>
      </c>
    </row>
    <row r="91" spans="1:22" ht="16.8" x14ac:dyDescent="0.3">
      <c r="A91" s="20">
        <v>9.1</v>
      </c>
      <c r="B91" s="20">
        <v>50.33</v>
      </c>
      <c r="C91" s="20">
        <v>50</v>
      </c>
      <c r="D91" s="20">
        <v>-0.33</v>
      </c>
      <c r="E91" s="20">
        <v>-0.05</v>
      </c>
      <c r="F91" s="20">
        <v>925.67</v>
      </c>
      <c r="Q91" s="20">
        <v>9</v>
      </c>
      <c r="R91" s="20">
        <v>50</v>
      </c>
      <c r="S91" s="20">
        <v>50.14</v>
      </c>
      <c r="T91" s="20">
        <v>-0.14000000000000001</v>
      </c>
      <c r="U91" s="20">
        <v>-0.02</v>
      </c>
      <c r="V91" s="20">
        <v>1067.1400000000001</v>
      </c>
    </row>
    <row r="92" spans="1:22" ht="16.8" x14ac:dyDescent="0.3">
      <c r="A92" s="20">
        <v>9.1999999999999993</v>
      </c>
      <c r="B92" s="20">
        <v>50.33</v>
      </c>
      <c r="C92" s="20">
        <v>50</v>
      </c>
      <c r="D92" s="20">
        <v>-0.33</v>
      </c>
      <c r="E92" s="20">
        <v>0</v>
      </c>
      <c r="F92" s="20">
        <v>926.64</v>
      </c>
      <c r="Q92" s="20">
        <v>9.1</v>
      </c>
      <c r="R92" s="20">
        <v>50</v>
      </c>
      <c r="S92" s="20">
        <v>50.22</v>
      </c>
      <c r="T92" s="20">
        <v>-0.22</v>
      </c>
      <c r="U92" s="20">
        <v>-0.08</v>
      </c>
      <c r="V92" s="20">
        <v>1046.7</v>
      </c>
    </row>
    <row r="93" spans="1:22" ht="16.8" x14ac:dyDescent="0.3">
      <c r="A93" s="20">
        <v>9.3000000000000007</v>
      </c>
      <c r="B93" s="20">
        <v>50.36</v>
      </c>
      <c r="C93" s="20">
        <v>50</v>
      </c>
      <c r="D93" s="20">
        <v>-0.36</v>
      </c>
      <c r="E93" s="20">
        <v>-0.03</v>
      </c>
      <c r="F93" s="20">
        <v>920.93</v>
      </c>
      <c r="Q93" s="20">
        <v>9.1999999999999993</v>
      </c>
      <c r="R93" s="20">
        <v>50</v>
      </c>
      <c r="S93" s="20">
        <v>50.2</v>
      </c>
      <c r="T93" s="20">
        <v>-0.2</v>
      </c>
      <c r="U93" s="20">
        <v>0.02</v>
      </c>
      <c r="V93" s="20">
        <v>1101.18</v>
      </c>
    </row>
    <row r="94" spans="1:22" ht="16.8" x14ac:dyDescent="0.3">
      <c r="A94" s="20">
        <v>9.4</v>
      </c>
      <c r="B94" s="20">
        <v>50.37</v>
      </c>
      <c r="C94" s="20">
        <v>50</v>
      </c>
      <c r="D94" s="20">
        <v>-0.37</v>
      </c>
      <c r="E94" s="20">
        <v>-0.01</v>
      </c>
      <c r="F94" s="20">
        <v>919.33</v>
      </c>
      <c r="Q94" s="20">
        <v>9.3000000000000007</v>
      </c>
      <c r="R94" s="20">
        <v>50</v>
      </c>
      <c r="S94" s="20">
        <v>50.24</v>
      </c>
      <c r="T94" s="20">
        <v>-0.24</v>
      </c>
      <c r="U94" s="20">
        <v>-0.04</v>
      </c>
      <c r="V94" s="20">
        <v>1042.67</v>
      </c>
    </row>
    <row r="95" spans="1:22" ht="16.8" x14ac:dyDescent="0.3">
      <c r="A95" s="20">
        <v>9.5</v>
      </c>
      <c r="B95" s="20">
        <v>50.41</v>
      </c>
      <c r="C95" s="20">
        <v>50</v>
      </c>
      <c r="D95" s="20">
        <v>-0.41</v>
      </c>
      <c r="E95" s="20">
        <v>-0.04</v>
      </c>
      <c r="F95" s="20">
        <v>911.68</v>
      </c>
      <c r="Q95" s="20">
        <v>9.4</v>
      </c>
      <c r="R95" s="20">
        <v>50</v>
      </c>
      <c r="S95" s="20">
        <v>50.34</v>
      </c>
      <c r="T95" s="20">
        <v>-0.34</v>
      </c>
      <c r="U95" s="20">
        <v>-0.1</v>
      </c>
      <c r="V95" s="20">
        <v>1014.92</v>
      </c>
    </row>
    <row r="96" spans="1:22" ht="16.8" x14ac:dyDescent="0.3">
      <c r="A96" s="20">
        <v>9.6</v>
      </c>
      <c r="B96" s="20">
        <v>50.39</v>
      </c>
      <c r="C96" s="20">
        <v>50</v>
      </c>
      <c r="D96" s="20">
        <v>-0.39</v>
      </c>
      <c r="E96" s="20">
        <v>0.01</v>
      </c>
      <c r="F96" s="20">
        <v>913.74</v>
      </c>
      <c r="Q96" s="20">
        <v>9.5</v>
      </c>
      <c r="R96" s="20">
        <v>50</v>
      </c>
      <c r="S96" s="20">
        <v>50.38</v>
      </c>
      <c r="T96" s="20">
        <v>-0.38</v>
      </c>
      <c r="U96" s="20">
        <v>-0.04</v>
      </c>
      <c r="V96" s="20">
        <v>1002.05</v>
      </c>
    </row>
    <row r="97" spans="1:22" ht="16.8" x14ac:dyDescent="0.3">
      <c r="A97" s="20">
        <v>9.6999999999999993</v>
      </c>
      <c r="B97" s="20">
        <v>50.36</v>
      </c>
      <c r="C97" s="20">
        <v>50</v>
      </c>
      <c r="D97" s="20">
        <v>-0.36</v>
      </c>
      <c r="E97" s="20">
        <v>0.03</v>
      </c>
      <c r="F97" s="20">
        <v>918.31</v>
      </c>
      <c r="Q97" s="20">
        <v>9.6</v>
      </c>
      <c r="R97" s="20">
        <v>50</v>
      </c>
      <c r="S97" s="20">
        <v>50.39</v>
      </c>
      <c r="T97" s="20">
        <v>-0.39</v>
      </c>
      <c r="U97" s="20">
        <v>-0.01</v>
      </c>
      <c r="V97" s="20">
        <v>999.31</v>
      </c>
    </row>
    <row r="98" spans="1:22" ht="16.8" x14ac:dyDescent="0.3">
      <c r="A98" s="20">
        <v>9.8000000000000007</v>
      </c>
      <c r="B98" s="20">
        <v>50.43</v>
      </c>
      <c r="C98" s="20">
        <v>50</v>
      </c>
      <c r="D98" s="20">
        <v>-0.43</v>
      </c>
      <c r="E98" s="20">
        <v>-0.06</v>
      </c>
      <c r="F98" s="20">
        <v>905.63</v>
      </c>
      <c r="Q98" s="20">
        <v>9.6999999999999993</v>
      </c>
      <c r="R98" s="20">
        <v>50</v>
      </c>
      <c r="S98" s="20">
        <v>50.41</v>
      </c>
      <c r="T98" s="20">
        <v>-0.41</v>
      </c>
      <c r="U98" s="20">
        <v>-0.02</v>
      </c>
      <c r="V98" s="20">
        <v>992.15</v>
      </c>
    </row>
    <row r="99" spans="1:22" ht="16.8" x14ac:dyDescent="0.3">
      <c r="A99" s="20">
        <v>9.9</v>
      </c>
      <c r="B99" s="20">
        <v>50.47</v>
      </c>
      <c r="C99" s="20">
        <v>50</v>
      </c>
      <c r="D99" s="20">
        <v>-0.47</v>
      </c>
      <c r="E99" s="20">
        <v>-0.05</v>
      </c>
      <c r="F99" s="20">
        <v>897.56</v>
      </c>
      <c r="Q99" s="20">
        <v>9.8000000000000007</v>
      </c>
      <c r="R99" s="20">
        <v>50</v>
      </c>
      <c r="S99" s="20">
        <v>50.43</v>
      </c>
      <c r="T99" s="20">
        <v>-0.43</v>
      </c>
      <c r="U99" s="20">
        <v>-0.02</v>
      </c>
      <c r="V99" s="20">
        <v>984.48</v>
      </c>
    </row>
    <row r="100" spans="1:22" ht="16.8" x14ac:dyDescent="0.3">
      <c r="A100" s="20">
        <v>10</v>
      </c>
      <c r="B100" s="20">
        <v>50.5</v>
      </c>
      <c r="C100" s="20">
        <v>50</v>
      </c>
      <c r="D100" s="20">
        <v>-0.5</v>
      </c>
      <c r="E100" s="20">
        <v>-0.03</v>
      </c>
      <c r="F100" s="20">
        <v>892.6</v>
      </c>
      <c r="Q100" s="20">
        <v>9.9</v>
      </c>
      <c r="R100" s="20">
        <v>50</v>
      </c>
      <c r="S100" s="20">
        <v>50.47</v>
      </c>
      <c r="T100" s="20">
        <v>-0.47</v>
      </c>
      <c r="U100" s="20">
        <v>-0.05</v>
      </c>
      <c r="V100" s="20">
        <v>963.6</v>
      </c>
    </row>
    <row r="101" spans="1:22" ht="16.8" x14ac:dyDescent="0.3">
      <c r="A101" s="20">
        <v>10.1</v>
      </c>
      <c r="B101" s="20">
        <v>50.52</v>
      </c>
      <c r="C101" s="20">
        <v>50</v>
      </c>
      <c r="D101" s="20">
        <v>-0.52</v>
      </c>
      <c r="E101" s="20">
        <v>-0.01</v>
      </c>
      <c r="F101" s="20">
        <v>889.99</v>
      </c>
      <c r="Q101" s="20">
        <v>10</v>
      </c>
      <c r="R101" s="20">
        <v>50</v>
      </c>
      <c r="S101" s="20">
        <v>50.5</v>
      </c>
      <c r="T101" s="20">
        <v>-0.5</v>
      </c>
      <c r="U101" s="20">
        <v>-0.02</v>
      </c>
      <c r="V101" s="20">
        <v>951.43</v>
      </c>
    </row>
    <row r="102" spans="1:22" ht="16.8" x14ac:dyDescent="0.3">
      <c r="A102" s="20">
        <v>10.199999999999999</v>
      </c>
      <c r="B102" s="20">
        <v>50.48</v>
      </c>
      <c r="C102" s="20">
        <v>50</v>
      </c>
      <c r="D102" s="20">
        <v>-0.48</v>
      </c>
      <c r="E102" s="20">
        <v>0.04</v>
      </c>
      <c r="F102" s="20">
        <v>895.49</v>
      </c>
      <c r="Q102" s="20">
        <v>10.1</v>
      </c>
      <c r="R102" s="20">
        <v>50</v>
      </c>
      <c r="S102" s="20">
        <v>50.49</v>
      </c>
      <c r="T102" s="20">
        <v>-0.49</v>
      </c>
      <c r="U102" s="20">
        <v>0</v>
      </c>
      <c r="V102" s="20">
        <v>966.61</v>
      </c>
    </row>
    <row r="103" spans="1:22" ht="16.8" x14ac:dyDescent="0.3">
      <c r="A103" s="20">
        <v>10.3</v>
      </c>
      <c r="B103" s="20">
        <v>50.52</v>
      </c>
      <c r="C103" s="20">
        <v>50</v>
      </c>
      <c r="D103" s="20">
        <v>-0.52</v>
      </c>
      <c r="E103" s="20">
        <v>-0.04</v>
      </c>
      <c r="F103" s="20">
        <v>887.42</v>
      </c>
      <c r="Q103" s="20">
        <v>10.199999999999999</v>
      </c>
      <c r="R103" s="20">
        <v>50</v>
      </c>
      <c r="S103" s="20">
        <v>50.53</v>
      </c>
      <c r="T103" s="20">
        <v>-0.53</v>
      </c>
      <c r="U103" s="20">
        <v>-0.03</v>
      </c>
      <c r="V103" s="20">
        <v>935.39</v>
      </c>
    </row>
    <row r="104" spans="1:22" ht="16.8" x14ac:dyDescent="0.3">
      <c r="A104" s="20">
        <v>10.4</v>
      </c>
      <c r="B104" s="20">
        <v>50.53</v>
      </c>
      <c r="C104" s="20">
        <v>50</v>
      </c>
      <c r="D104" s="20">
        <v>-0.53</v>
      </c>
      <c r="E104" s="20">
        <v>-0.01</v>
      </c>
      <c r="F104" s="20">
        <v>884.95</v>
      </c>
      <c r="Q104" s="20">
        <v>10.3</v>
      </c>
      <c r="R104" s="20">
        <v>50</v>
      </c>
      <c r="S104" s="20">
        <v>50.55</v>
      </c>
      <c r="T104" s="20">
        <v>-0.55000000000000004</v>
      </c>
      <c r="U104" s="20">
        <v>-0.02</v>
      </c>
      <c r="V104" s="20">
        <v>919.56</v>
      </c>
    </row>
    <row r="105" spans="1:22" ht="16.8" x14ac:dyDescent="0.3">
      <c r="A105" s="20">
        <v>10.5</v>
      </c>
      <c r="B105" s="20">
        <v>50.51</v>
      </c>
      <c r="C105" s="20">
        <v>50</v>
      </c>
      <c r="D105" s="20">
        <v>-0.51</v>
      </c>
      <c r="E105" s="20">
        <v>0.02</v>
      </c>
      <c r="F105" s="20">
        <v>887.61</v>
      </c>
      <c r="Q105" s="20">
        <v>10.4</v>
      </c>
      <c r="R105" s="20">
        <v>50</v>
      </c>
      <c r="S105" s="20">
        <v>50.55</v>
      </c>
      <c r="T105" s="20">
        <v>-0.55000000000000004</v>
      </c>
      <c r="U105" s="20">
        <v>0</v>
      </c>
      <c r="V105" s="20">
        <v>919.56</v>
      </c>
    </row>
    <row r="106" spans="1:22" ht="16.8" x14ac:dyDescent="0.3">
      <c r="A106" s="20">
        <v>10.6</v>
      </c>
      <c r="B106" s="20">
        <v>50.5</v>
      </c>
      <c r="C106" s="20">
        <v>50</v>
      </c>
      <c r="D106" s="20">
        <v>-0.5</v>
      </c>
      <c r="E106" s="20">
        <v>0.01</v>
      </c>
      <c r="F106" s="20">
        <v>887.55</v>
      </c>
      <c r="Q106" s="20">
        <v>10.5</v>
      </c>
      <c r="R106" s="20">
        <v>50</v>
      </c>
      <c r="S106" s="20">
        <v>50.52</v>
      </c>
      <c r="T106" s="20">
        <v>-0.52</v>
      </c>
      <c r="U106" s="20">
        <v>0.03</v>
      </c>
      <c r="V106" s="20">
        <v>1027.43</v>
      </c>
    </row>
    <row r="107" spans="1:22" ht="16.8" x14ac:dyDescent="0.3">
      <c r="A107" s="20">
        <v>10.7</v>
      </c>
      <c r="B107" s="20">
        <v>50.5</v>
      </c>
      <c r="C107" s="20">
        <v>50</v>
      </c>
      <c r="D107" s="20">
        <v>-0.5</v>
      </c>
      <c r="E107" s="20">
        <v>0</v>
      </c>
      <c r="F107" s="20">
        <v>886.34</v>
      </c>
      <c r="Q107" s="20">
        <v>10.6</v>
      </c>
      <c r="R107" s="20">
        <v>50</v>
      </c>
      <c r="S107" s="20">
        <v>50.56</v>
      </c>
      <c r="T107" s="20">
        <v>-0.56000000000000005</v>
      </c>
      <c r="U107" s="20">
        <v>-0.03</v>
      </c>
      <c r="V107" s="20">
        <v>916.69</v>
      </c>
    </row>
    <row r="108" spans="1:22" ht="16.8" x14ac:dyDescent="0.3">
      <c r="A108" s="20">
        <v>10.8</v>
      </c>
      <c r="B108" s="20">
        <v>50.54</v>
      </c>
      <c r="C108" s="20">
        <v>50</v>
      </c>
      <c r="D108" s="20">
        <v>-0.54</v>
      </c>
      <c r="E108" s="20">
        <v>-0.04</v>
      </c>
      <c r="F108" s="20">
        <v>878.24</v>
      </c>
      <c r="Q108" s="20">
        <v>10.7</v>
      </c>
      <c r="R108" s="20">
        <v>50</v>
      </c>
      <c r="S108" s="20">
        <v>50.54</v>
      </c>
      <c r="T108" s="20">
        <v>-0.54</v>
      </c>
      <c r="U108" s="20">
        <v>0.01</v>
      </c>
      <c r="V108" s="20">
        <v>968.3</v>
      </c>
    </row>
    <row r="109" spans="1:22" ht="16.8" x14ac:dyDescent="0.3">
      <c r="A109" s="20">
        <v>10.9</v>
      </c>
      <c r="B109" s="20">
        <v>50.5</v>
      </c>
      <c r="C109" s="20">
        <v>50</v>
      </c>
      <c r="D109" s="20">
        <v>-0.5</v>
      </c>
      <c r="E109" s="20">
        <v>0.04</v>
      </c>
      <c r="F109" s="20">
        <v>884.26</v>
      </c>
      <c r="Q109" s="20">
        <v>10.8</v>
      </c>
      <c r="R109" s="20">
        <v>50</v>
      </c>
      <c r="S109" s="20">
        <v>50.56</v>
      </c>
      <c r="T109" s="20">
        <v>-0.56000000000000005</v>
      </c>
      <c r="U109" s="20">
        <v>-0.02</v>
      </c>
      <c r="V109" s="20">
        <v>913.78</v>
      </c>
    </row>
    <row r="110" spans="1:22" ht="16.8" x14ac:dyDescent="0.3">
      <c r="A110" s="20">
        <v>11</v>
      </c>
      <c r="B110" s="20">
        <v>50.52</v>
      </c>
      <c r="C110" s="20">
        <v>50</v>
      </c>
      <c r="D110" s="20">
        <v>-0.52</v>
      </c>
      <c r="E110" s="20">
        <v>-0.01</v>
      </c>
      <c r="F110" s="20">
        <v>880.36</v>
      </c>
      <c r="Q110" s="20">
        <v>10.9</v>
      </c>
      <c r="R110" s="20">
        <v>50</v>
      </c>
      <c r="S110" s="20">
        <v>50.54</v>
      </c>
      <c r="T110" s="20">
        <v>-0.54</v>
      </c>
      <c r="U110" s="20">
        <v>0.02</v>
      </c>
      <c r="V110" s="20">
        <v>1010.86</v>
      </c>
    </row>
    <row r="111" spans="1:22" ht="16.8" x14ac:dyDescent="0.3">
      <c r="A111" s="20">
        <v>11.1</v>
      </c>
      <c r="B111" s="20">
        <v>50.52</v>
      </c>
      <c r="C111" s="20">
        <v>50</v>
      </c>
      <c r="D111" s="20">
        <v>-0.52</v>
      </c>
      <c r="E111" s="20">
        <v>-0.01</v>
      </c>
      <c r="F111" s="20">
        <v>878.11</v>
      </c>
      <c r="Q111" s="20">
        <v>11</v>
      </c>
      <c r="R111" s="20">
        <v>50</v>
      </c>
      <c r="S111" s="20">
        <v>50.58</v>
      </c>
      <c r="T111" s="20">
        <v>-0.57999999999999996</v>
      </c>
      <c r="U111" s="20">
        <v>-0.04</v>
      </c>
      <c r="V111" s="20">
        <v>897.93</v>
      </c>
    </row>
    <row r="112" spans="1:22" ht="16.8" x14ac:dyDescent="0.3">
      <c r="A112" s="20">
        <v>11.2</v>
      </c>
      <c r="B112" s="20">
        <v>50.53</v>
      </c>
      <c r="C112" s="20">
        <v>50</v>
      </c>
      <c r="D112" s="20">
        <v>-0.53</v>
      </c>
      <c r="E112" s="20">
        <v>-0.01</v>
      </c>
      <c r="F112" s="20">
        <v>875.77</v>
      </c>
      <c r="Q112" s="20">
        <v>11.1</v>
      </c>
      <c r="R112" s="20">
        <v>50</v>
      </c>
      <c r="S112" s="20">
        <v>50.56</v>
      </c>
      <c r="T112" s="20">
        <v>-0.56000000000000005</v>
      </c>
      <c r="U112" s="20">
        <v>0.02</v>
      </c>
      <c r="V112" s="20">
        <v>971.06</v>
      </c>
    </row>
    <row r="113" spans="1:22" ht="16.8" x14ac:dyDescent="0.3">
      <c r="A113" s="20">
        <v>11.3</v>
      </c>
      <c r="B113" s="20">
        <v>50.59</v>
      </c>
      <c r="C113" s="20">
        <v>50</v>
      </c>
      <c r="D113" s="20">
        <v>-0.59</v>
      </c>
      <c r="E113" s="20">
        <v>-0.06</v>
      </c>
      <c r="F113" s="20">
        <v>864.94</v>
      </c>
      <c r="Q113" s="20">
        <v>11.2</v>
      </c>
      <c r="R113" s="20">
        <v>50</v>
      </c>
      <c r="S113" s="20">
        <v>50.53</v>
      </c>
      <c r="T113" s="20">
        <v>-0.53</v>
      </c>
      <c r="U113" s="20">
        <v>0.04</v>
      </c>
      <c r="V113" s="20">
        <v>1048.47</v>
      </c>
    </row>
    <row r="114" spans="1:22" ht="16.8" x14ac:dyDescent="0.3">
      <c r="A114" s="20">
        <v>11.4</v>
      </c>
      <c r="B114" s="20">
        <v>50.56</v>
      </c>
      <c r="C114" s="20">
        <v>50</v>
      </c>
      <c r="D114" s="20">
        <v>-0.56000000000000005</v>
      </c>
      <c r="E114" s="20">
        <v>0.02</v>
      </c>
      <c r="F114" s="20">
        <v>869.06</v>
      </c>
      <c r="Q114" s="20">
        <v>11.3</v>
      </c>
      <c r="R114" s="20">
        <v>50</v>
      </c>
      <c r="S114" s="20">
        <v>50.54</v>
      </c>
      <c r="T114" s="20">
        <v>-0.54</v>
      </c>
      <c r="U114" s="20">
        <v>-0.02</v>
      </c>
      <c r="V114" s="20">
        <v>925.05</v>
      </c>
    </row>
    <row r="115" spans="1:22" ht="16.8" x14ac:dyDescent="0.3">
      <c r="A115" s="20">
        <v>11.5</v>
      </c>
      <c r="B115" s="20">
        <v>50.55</v>
      </c>
      <c r="C115" s="20">
        <v>50</v>
      </c>
      <c r="D115" s="20">
        <v>-0.55000000000000004</v>
      </c>
      <c r="E115" s="20">
        <v>0.02</v>
      </c>
      <c r="F115" s="20">
        <v>870.22</v>
      </c>
      <c r="Q115" s="20">
        <v>11.4</v>
      </c>
      <c r="R115" s="20">
        <v>50</v>
      </c>
      <c r="S115" s="20">
        <v>50.53</v>
      </c>
      <c r="T115" s="20">
        <v>-0.53</v>
      </c>
      <c r="U115" s="20">
        <v>0.01</v>
      </c>
      <c r="V115" s="20">
        <v>974.63</v>
      </c>
    </row>
    <row r="116" spans="1:22" ht="16.8" x14ac:dyDescent="0.3">
      <c r="A116" s="20">
        <v>11.6</v>
      </c>
      <c r="B116" s="20">
        <v>50.55</v>
      </c>
      <c r="C116" s="20">
        <v>50</v>
      </c>
      <c r="D116" s="20">
        <v>-0.55000000000000004</v>
      </c>
      <c r="E116" s="20">
        <v>0</v>
      </c>
      <c r="F116" s="20">
        <v>868.04</v>
      </c>
      <c r="Q116" s="20">
        <v>11.5</v>
      </c>
      <c r="R116" s="20">
        <v>50</v>
      </c>
      <c r="S116" s="20">
        <v>50.5</v>
      </c>
      <c r="T116" s="20">
        <v>-0.5</v>
      </c>
      <c r="U116" s="20">
        <v>0.03</v>
      </c>
      <c r="V116" s="20">
        <v>1046.57</v>
      </c>
    </row>
    <row r="117" spans="1:22" ht="16.8" x14ac:dyDescent="0.3">
      <c r="A117" s="20">
        <v>11.7</v>
      </c>
      <c r="B117" s="20">
        <v>50.56</v>
      </c>
      <c r="C117" s="20">
        <v>50</v>
      </c>
      <c r="D117" s="20">
        <v>-0.56000000000000005</v>
      </c>
      <c r="E117" s="20">
        <v>-0.01</v>
      </c>
      <c r="F117" s="20">
        <v>864.85</v>
      </c>
      <c r="Q117" s="20">
        <v>11.6</v>
      </c>
      <c r="R117" s="20">
        <v>50</v>
      </c>
      <c r="S117" s="20">
        <v>50.49</v>
      </c>
      <c r="T117" s="20">
        <v>-0.49</v>
      </c>
      <c r="U117" s="20">
        <v>0.01</v>
      </c>
      <c r="V117" s="20">
        <v>981.1</v>
      </c>
    </row>
    <row r="118" spans="1:22" ht="16.8" x14ac:dyDescent="0.3">
      <c r="A118" s="20">
        <v>11.8</v>
      </c>
      <c r="B118" s="20">
        <v>50.52</v>
      </c>
      <c r="C118" s="20">
        <v>50</v>
      </c>
      <c r="D118" s="20">
        <v>-0.52</v>
      </c>
      <c r="E118" s="20">
        <v>0.04</v>
      </c>
      <c r="F118" s="20">
        <v>871.67</v>
      </c>
      <c r="Q118" s="20">
        <v>11.7</v>
      </c>
      <c r="R118" s="20">
        <v>50</v>
      </c>
      <c r="S118" s="20">
        <v>50.46</v>
      </c>
      <c r="T118" s="20">
        <v>-0.46</v>
      </c>
      <c r="U118" s="20">
        <v>0.03</v>
      </c>
      <c r="V118" s="20">
        <v>1058.26</v>
      </c>
    </row>
    <row r="119" spans="1:22" ht="16.8" x14ac:dyDescent="0.3">
      <c r="A119" s="20">
        <v>11.9</v>
      </c>
      <c r="B119" s="20">
        <v>50.51</v>
      </c>
      <c r="C119" s="20">
        <v>50</v>
      </c>
      <c r="D119" s="20">
        <v>-0.51</v>
      </c>
      <c r="E119" s="20">
        <v>0.01</v>
      </c>
      <c r="F119" s="20">
        <v>871.8</v>
      </c>
      <c r="Q119" s="20">
        <v>11.8</v>
      </c>
      <c r="R119" s="20">
        <v>50</v>
      </c>
      <c r="S119" s="20">
        <v>50.52</v>
      </c>
      <c r="T119" s="20">
        <v>-0.52</v>
      </c>
      <c r="U119" s="20">
        <v>-0.06</v>
      </c>
      <c r="V119" s="20">
        <v>940.22</v>
      </c>
    </row>
    <row r="120" spans="1:22" ht="16.8" x14ac:dyDescent="0.3">
      <c r="A120" s="20">
        <v>12</v>
      </c>
      <c r="B120" s="20">
        <v>50.54</v>
      </c>
      <c r="C120" s="20">
        <v>50</v>
      </c>
      <c r="D120" s="20">
        <v>-0.54</v>
      </c>
      <c r="E120" s="20">
        <v>-0.03</v>
      </c>
      <c r="F120" s="20">
        <v>864.86</v>
      </c>
      <c r="Q120" s="20">
        <v>11.9</v>
      </c>
      <c r="R120" s="20">
        <v>50</v>
      </c>
      <c r="S120" s="20">
        <v>50.52</v>
      </c>
      <c r="T120" s="20">
        <v>-0.52</v>
      </c>
      <c r="U120" s="20">
        <v>0</v>
      </c>
      <c r="V120" s="20">
        <v>940.22</v>
      </c>
    </row>
    <row r="121" spans="1:22" ht="16.8" x14ac:dyDescent="0.3">
      <c r="A121" s="20">
        <v>12.1</v>
      </c>
      <c r="B121" s="20">
        <v>50.52</v>
      </c>
      <c r="C121" s="20">
        <v>50</v>
      </c>
      <c r="D121" s="20">
        <v>-0.52</v>
      </c>
      <c r="E121" s="20">
        <v>0.02</v>
      </c>
      <c r="F121" s="20">
        <v>867.9</v>
      </c>
      <c r="Q121" s="20">
        <v>12</v>
      </c>
      <c r="R121" s="20">
        <v>50</v>
      </c>
      <c r="S121" s="20">
        <v>50.49</v>
      </c>
      <c r="T121" s="20">
        <v>-0.49</v>
      </c>
      <c r="U121" s="20">
        <v>0.02</v>
      </c>
      <c r="V121" s="20">
        <v>1026.27</v>
      </c>
    </row>
    <row r="122" spans="1:22" ht="16.8" x14ac:dyDescent="0.3">
      <c r="A122" s="20">
        <v>12.2</v>
      </c>
      <c r="B122" s="20">
        <v>50.55</v>
      </c>
      <c r="C122" s="20">
        <v>50</v>
      </c>
      <c r="D122" s="20">
        <v>-0.55000000000000004</v>
      </c>
      <c r="E122" s="20">
        <v>-0.03</v>
      </c>
      <c r="F122" s="20">
        <v>861.47</v>
      </c>
      <c r="Q122" s="20">
        <v>12.1</v>
      </c>
      <c r="R122" s="20">
        <v>50</v>
      </c>
      <c r="S122" s="20">
        <v>50.48</v>
      </c>
      <c r="T122" s="20">
        <v>-0.48</v>
      </c>
      <c r="U122" s="20">
        <v>0.02</v>
      </c>
      <c r="V122" s="20">
        <v>1009.79</v>
      </c>
    </row>
    <row r="123" spans="1:22" ht="16.8" x14ac:dyDescent="0.3">
      <c r="A123" s="20">
        <v>12.3</v>
      </c>
      <c r="B123" s="20">
        <v>50.52</v>
      </c>
      <c r="C123" s="20">
        <v>50</v>
      </c>
      <c r="D123" s="20">
        <v>-0.52</v>
      </c>
      <c r="E123" s="20">
        <v>0.03</v>
      </c>
      <c r="F123" s="20">
        <v>865.82</v>
      </c>
      <c r="Q123" s="20">
        <v>12.2</v>
      </c>
      <c r="R123" s="20">
        <v>50</v>
      </c>
      <c r="S123" s="20">
        <v>50.49</v>
      </c>
      <c r="T123" s="20">
        <v>-0.49</v>
      </c>
      <c r="U123" s="20">
        <v>-0.02</v>
      </c>
      <c r="V123" s="20">
        <v>953.56</v>
      </c>
    </row>
    <row r="124" spans="1:22" ht="16.8" x14ac:dyDescent="0.3">
      <c r="A124" s="20">
        <v>12.4</v>
      </c>
      <c r="B124" s="20">
        <v>50.56</v>
      </c>
      <c r="C124" s="20">
        <v>50</v>
      </c>
      <c r="D124" s="20">
        <v>-0.56000000000000005</v>
      </c>
      <c r="E124" s="20">
        <v>-0.04</v>
      </c>
      <c r="F124" s="20">
        <v>856.41</v>
      </c>
      <c r="Q124" s="20">
        <v>12.3</v>
      </c>
      <c r="R124" s="20">
        <v>50</v>
      </c>
      <c r="S124" s="20">
        <v>50.52</v>
      </c>
      <c r="T124" s="20">
        <v>-0.52</v>
      </c>
      <c r="U124" s="20">
        <v>-0.02</v>
      </c>
      <c r="V124" s="20">
        <v>942.55</v>
      </c>
    </row>
    <row r="125" spans="1:22" ht="16.8" x14ac:dyDescent="0.3">
      <c r="A125" s="20">
        <v>12.5</v>
      </c>
      <c r="B125" s="20">
        <v>50.54</v>
      </c>
      <c r="C125" s="20">
        <v>50</v>
      </c>
      <c r="D125" s="20">
        <v>-0.54</v>
      </c>
      <c r="E125" s="20">
        <v>0.02</v>
      </c>
      <c r="F125" s="20">
        <v>860.34</v>
      </c>
      <c r="Q125" s="20">
        <v>12.4</v>
      </c>
      <c r="R125" s="20">
        <v>50</v>
      </c>
      <c r="S125" s="20">
        <v>50.49</v>
      </c>
      <c r="T125" s="20">
        <v>-0.49</v>
      </c>
      <c r="U125" s="20">
        <v>0.02</v>
      </c>
      <c r="V125" s="20">
        <v>1015.07</v>
      </c>
    </row>
    <row r="126" spans="1:22" ht="16.8" x14ac:dyDescent="0.3">
      <c r="A126" s="20">
        <v>12.6</v>
      </c>
      <c r="B126" s="20">
        <v>50.54</v>
      </c>
      <c r="C126" s="20">
        <v>50</v>
      </c>
      <c r="D126" s="20">
        <v>-0.54</v>
      </c>
      <c r="E126" s="20">
        <v>0</v>
      </c>
      <c r="F126" s="20">
        <v>858.02</v>
      </c>
      <c r="Q126" s="20">
        <v>12.5</v>
      </c>
      <c r="R126" s="20">
        <v>50</v>
      </c>
      <c r="S126" s="20">
        <v>50.49</v>
      </c>
      <c r="T126" s="20">
        <v>-0.49</v>
      </c>
      <c r="U126" s="20">
        <v>0.01</v>
      </c>
      <c r="V126" s="20">
        <v>982.94</v>
      </c>
    </row>
    <row r="127" spans="1:22" ht="16.8" x14ac:dyDescent="0.3">
      <c r="A127" s="20">
        <v>12.7</v>
      </c>
      <c r="B127" s="20">
        <v>50.5</v>
      </c>
      <c r="C127" s="20">
        <v>50</v>
      </c>
      <c r="D127" s="20">
        <v>-0.5</v>
      </c>
      <c r="E127" s="20">
        <v>0.04</v>
      </c>
      <c r="F127" s="20">
        <v>864.01</v>
      </c>
      <c r="Q127" s="20">
        <v>12.6</v>
      </c>
      <c r="R127" s="20">
        <v>50</v>
      </c>
      <c r="S127" s="20">
        <v>50.46</v>
      </c>
      <c r="T127" s="20">
        <v>-0.46</v>
      </c>
      <c r="U127" s="20">
        <v>0.03</v>
      </c>
      <c r="V127" s="20">
        <v>1048.3599999999999</v>
      </c>
    </row>
    <row r="128" spans="1:22" ht="16.8" x14ac:dyDescent="0.3">
      <c r="A128" s="20">
        <v>12.8</v>
      </c>
      <c r="B128" s="20">
        <v>50.52</v>
      </c>
      <c r="C128" s="20">
        <v>50</v>
      </c>
      <c r="D128" s="20">
        <v>-0.52</v>
      </c>
      <c r="E128" s="20">
        <v>-0.02</v>
      </c>
      <c r="F128" s="20">
        <v>858.62</v>
      </c>
      <c r="Q128" s="20">
        <v>12.7</v>
      </c>
      <c r="R128" s="20">
        <v>50</v>
      </c>
      <c r="S128" s="20">
        <v>50.5</v>
      </c>
      <c r="T128" s="20">
        <v>-0.5</v>
      </c>
      <c r="U128" s="20">
        <v>-0.04</v>
      </c>
      <c r="V128" s="20">
        <v>949.28</v>
      </c>
    </row>
    <row r="129" spans="1:22" ht="16.8" x14ac:dyDescent="0.3">
      <c r="A129" s="20">
        <v>12.9</v>
      </c>
      <c r="B129" s="20">
        <v>50.54</v>
      </c>
      <c r="C129" s="20">
        <v>50</v>
      </c>
      <c r="D129" s="20">
        <v>-0.54</v>
      </c>
      <c r="E129" s="20">
        <v>-0.02</v>
      </c>
      <c r="F129" s="20">
        <v>854.4</v>
      </c>
      <c r="Q129" s="20">
        <v>12.8</v>
      </c>
      <c r="R129" s="20">
        <v>50</v>
      </c>
      <c r="S129" s="20">
        <v>50.49</v>
      </c>
      <c r="T129" s="20">
        <v>-0.49</v>
      </c>
      <c r="U129" s="20">
        <v>0.01</v>
      </c>
      <c r="V129" s="20">
        <v>993.28</v>
      </c>
    </row>
    <row r="130" spans="1:22" ht="16.8" x14ac:dyDescent="0.3">
      <c r="A130" s="20">
        <v>13</v>
      </c>
      <c r="B130" s="20">
        <v>50.51</v>
      </c>
      <c r="C130" s="20">
        <v>50</v>
      </c>
      <c r="D130" s="20">
        <v>-0.51</v>
      </c>
      <c r="E130" s="20">
        <v>0.03</v>
      </c>
      <c r="F130" s="20">
        <v>859.31</v>
      </c>
      <c r="Q130" s="20">
        <v>12.9</v>
      </c>
      <c r="R130" s="20">
        <v>50</v>
      </c>
      <c r="S130" s="20">
        <v>50.43</v>
      </c>
      <c r="T130" s="20">
        <v>-0.43</v>
      </c>
      <c r="U130" s="20">
        <v>0.06</v>
      </c>
      <c r="V130" s="20">
        <v>1116.56</v>
      </c>
    </row>
    <row r="131" spans="1:22" ht="16.8" x14ac:dyDescent="0.3">
      <c r="A131" s="20">
        <v>13.1</v>
      </c>
      <c r="B131" s="20">
        <v>50.53</v>
      </c>
      <c r="C131" s="20">
        <v>50</v>
      </c>
      <c r="D131" s="20">
        <v>-0.53</v>
      </c>
      <c r="E131" s="20">
        <v>-0.02</v>
      </c>
      <c r="F131" s="20">
        <v>854.77</v>
      </c>
      <c r="Q131" s="20">
        <v>13</v>
      </c>
      <c r="R131" s="20">
        <v>50</v>
      </c>
      <c r="S131" s="20">
        <v>50.49</v>
      </c>
      <c r="T131" s="20">
        <v>-0.49</v>
      </c>
      <c r="U131" s="20">
        <v>-0.05</v>
      </c>
      <c r="V131" s="20">
        <v>957.7</v>
      </c>
    </row>
    <row r="132" spans="1:22" ht="16.8" x14ac:dyDescent="0.3">
      <c r="A132" s="20">
        <v>13.2</v>
      </c>
      <c r="B132" s="20">
        <v>50.56</v>
      </c>
      <c r="C132" s="20">
        <v>50</v>
      </c>
      <c r="D132" s="20">
        <v>-0.56000000000000005</v>
      </c>
      <c r="E132" s="20">
        <v>-0.03</v>
      </c>
      <c r="F132" s="20">
        <v>848.34</v>
      </c>
      <c r="Q132" s="20">
        <v>13.1</v>
      </c>
      <c r="R132" s="20">
        <v>50</v>
      </c>
      <c r="S132" s="20">
        <v>50.46</v>
      </c>
      <c r="T132" s="20">
        <v>-0.46</v>
      </c>
      <c r="U132" s="20">
        <v>0.02</v>
      </c>
      <c r="V132" s="20">
        <v>1036.96</v>
      </c>
    </row>
    <row r="133" spans="1:22" ht="16.8" x14ac:dyDescent="0.3">
      <c r="A133" s="20">
        <v>13.3</v>
      </c>
      <c r="B133" s="20">
        <v>50.52</v>
      </c>
      <c r="C133" s="20">
        <v>50</v>
      </c>
      <c r="D133" s="20">
        <v>-0.52</v>
      </c>
      <c r="E133" s="20">
        <v>0.04</v>
      </c>
      <c r="F133" s="20">
        <v>855.57</v>
      </c>
      <c r="Q133" s="20">
        <v>13.2</v>
      </c>
      <c r="R133" s="20">
        <v>50</v>
      </c>
      <c r="S133" s="20">
        <v>50.48</v>
      </c>
      <c r="T133" s="20">
        <v>-0.48</v>
      </c>
      <c r="U133" s="20">
        <v>-0.02</v>
      </c>
      <c r="V133" s="20">
        <v>959.7</v>
      </c>
    </row>
    <row r="134" spans="1:22" ht="16.8" x14ac:dyDescent="0.3">
      <c r="A134" s="20">
        <v>13.4</v>
      </c>
      <c r="B134" s="20">
        <v>50.5</v>
      </c>
      <c r="C134" s="20">
        <v>50</v>
      </c>
      <c r="D134" s="20">
        <v>-0.5</v>
      </c>
      <c r="E134" s="20">
        <v>0.01</v>
      </c>
      <c r="F134" s="20">
        <v>855.72</v>
      </c>
      <c r="Q134" s="20">
        <v>13.3</v>
      </c>
      <c r="R134" s="20">
        <v>50</v>
      </c>
      <c r="S134" s="20">
        <v>50.47</v>
      </c>
      <c r="T134" s="20">
        <v>-0.47</v>
      </c>
      <c r="U134" s="20">
        <v>0.01</v>
      </c>
      <c r="V134" s="20">
        <v>1001.49</v>
      </c>
    </row>
    <row r="135" spans="1:22" ht="16.8" x14ac:dyDescent="0.3">
      <c r="A135" s="20">
        <v>13.5</v>
      </c>
      <c r="B135" s="20">
        <v>50.51</v>
      </c>
      <c r="C135" s="20">
        <v>50</v>
      </c>
      <c r="D135" s="20">
        <v>-0.51</v>
      </c>
      <c r="E135" s="20">
        <v>0</v>
      </c>
      <c r="F135" s="20">
        <v>853.71</v>
      </c>
      <c r="Q135" s="20">
        <v>13.4</v>
      </c>
      <c r="R135" s="20">
        <v>50</v>
      </c>
      <c r="S135" s="20">
        <v>50.48</v>
      </c>
      <c r="T135" s="20">
        <v>-0.48</v>
      </c>
      <c r="U135" s="20">
        <v>-0.01</v>
      </c>
      <c r="V135" s="20">
        <v>961.68</v>
      </c>
    </row>
    <row r="136" spans="1:22" ht="16.8" x14ac:dyDescent="0.3">
      <c r="A136" s="20">
        <v>13.6</v>
      </c>
      <c r="B136" s="20">
        <v>50.5</v>
      </c>
      <c r="C136" s="20">
        <v>50</v>
      </c>
      <c r="D136" s="20">
        <v>-0.5</v>
      </c>
      <c r="E136" s="20">
        <v>0.01</v>
      </c>
      <c r="F136" s="20">
        <v>854.14</v>
      </c>
      <c r="Q136" s="20">
        <v>13.5</v>
      </c>
      <c r="R136" s="20">
        <v>50</v>
      </c>
      <c r="S136" s="20">
        <v>50.47</v>
      </c>
      <c r="T136" s="20">
        <v>-0.47</v>
      </c>
      <c r="U136" s="20">
        <v>0.01</v>
      </c>
      <c r="V136" s="20">
        <v>1003.01</v>
      </c>
    </row>
    <row r="137" spans="1:22" ht="16.8" x14ac:dyDescent="0.3">
      <c r="A137" s="20">
        <v>13.7</v>
      </c>
      <c r="B137" s="20">
        <v>50.45</v>
      </c>
      <c r="C137" s="20">
        <v>50</v>
      </c>
      <c r="D137" s="20">
        <v>-0.45</v>
      </c>
      <c r="E137" s="20">
        <v>0.05</v>
      </c>
      <c r="F137" s="20">
        <v>861.39</v>
      </c>
      <c r="Q137" s="20">
        <v>13.6</v>
      </c>
      <c r="R137" s="20">
        <v>50</v>
      </c>
      <c r="S137" s="20">
        <v>50.42</v>
      </c>
      <c r="T137" s="20">
        <v>-0.42</v>
      </c>
      <c r="U137" s="20">
        <v>0.05</v>
      </c>
      <c r="V137" s="20">
        <v>1103.27</v>
      </c>
    </row>
    <row r="138" spans="1:22" ht="16.8" x14ac:dyDescent="0.3">
      <c r="A138" s="20">
        <v>13.8</v>
      </c>
      <c r="B138" s="20">
        <v>50.49</v>
      </c>
      <c r="C138" s="20">
        <v>50</v>
      </c>
      <c r="D138" s="20">
        <v>-0.49</v>
      </c>
      <c r="E138" s="20">
        <v>-0.04</v>
      </c>
      <c r="F138" s="20">
        <v>851.72</v>
      </c>
      <c r="Q138" s="20">
        <v>13.7</v>
      </c>
      <c r="R138" s="20">
        <v>50</v>
      </c>
      <c r="S138" s="20">
        <v>50.43</v>
      </c>
      <c r="T138" s="20">
        <v>-0.43</v>
      </c>
      <c r="U138" s="20">
        <v>-0.02</v>
      </c>
      <c r="V138" s="20">
        <v>981.28</v>
      </c>
    </row>
    <row r="139" spans="1:22" ht="16.8" x14ac:dyDescent="0.3">
      <c r="A139" s="20">
        <v>13.9</v>
      </c>
      <c r="B139" s="20">
        <v>50.48</v>
      </c>
      <c r="C139" s="20">
        <v>50</v>
      </c>
      <c r="D139" s="20">
        <v>-0.48</v>
      </c>
      <c r="E139" s="20">
        <v>0.02</v>
      </c>
      <c r="F139" s="20">
        <v>854.39</v>
      </c>
      <c r="Q139" s="20">
        <v>13.8</v>
      </c>
      <c r="R139" s="20">
        <v>50</v>
      </c>
      <c r="S139" s="20">
        <v>50.48</v>
      </c>
      <c r="T139" s="20">
        <v>-0.48</v>
      </c>
      <c r="U139" s="20">
        <v>-0.04</v>
      </c>
      <c r="V139" s="20">
        <v>961.68</v>
      </c>
    </row>
    <row r="140" spans="1:22" ht="16.8" x14ac:dyDescent="0.3">
      <c r="A140" s="20">
        <v>14</v>
      </c>
      <c r="B140" s="20">
        <v>50.49</v>
      </c>
      <c r="C140" s="20">
        <v>50</v>
      </c>
      <c r="D140" s="20">
        <v>-0.49</v>
      </c>
      <c r="E140" s="20">
        <v>-0.01</v>
      </c>
      <c r="F140" s="20">
        <v>851.65</v>
      </c>
      <c r="Q140" s="20">
        <v>13.9</v>
      </c>
      <c r="R140" s="20">
        <v>50</v>
      </c>
      <c r="S140" s="20">
        <v>50.43</v>
      </c>
      <c r="T140" s="20">
        <v>-0.43</v>
      </c>
      <c r="U140" s="20">
        <v>0.05</v>
      </c>
      <c r="V140" s="20">
        <v>1100.93</v>
      </c>
    </row>
    <row r="141" spans="1:22" ht="16.8" x14ac:dyDescent="0.3">
      <c r="A141" s="20">
        <v>14.1</v>
      </c>
      <c r="B141" s="20">
        <v>50.46</v>
      </c>
      <c r="C141" s="20">
        <v>50</v>
      </c>
      <c r="D141" s="20">
        <v>-0.46</v>
      </c>
      <c r="E141" s="20">
        <v>0.03</v>
      </c>
      <c r="F141" s="20">
        <v>855.73</v>
      </c>
      <c r="Q141" s="20">
        <v>14</v>
      </c>
      <c r="R141" s="20">
        <v>50</v>
      </c>
      <c r="S141" s="20">
        <v>50.45</v>
      </c>
      <c r="T141" s="20">
        <v>-0.45</v>
      </c>
      <c r="U141" s="20">
        <v>-0.02</v>
      </c>
      <c r="V141" s="20">
        <v>972.78</v>
      </c>
    </row>
    <row r="142" spans="1:22" ht="16.8" x14ac:dyDescent="0.3">
      <c r="A142" s="20">
        <v>14.2</v>
      </c>
      <c r="B142" s="20">
        <v>50.46</v>
      </c>
      <c r="C142" s="20">
        <v>50</v>
      </c>
      <c r="D142" s="20">
        <v>-0.46</v>
      </c>
      <c r="E142" s="20">
        <v>0</v>
      </c>
      <c r="F142" s="20">
        <v>854.2</v>
      </c>
      <c r="Q142" s="20">
        <v>14.1</v>
      </c>
      <c r="R142" s="20">
        <v>50</v>
      </c>
      <c r="S142" s="20">
        <v>50.45</v>
      </c>
      <c r="T142" s="20">
        <v>-0.45</v>
      </c>
      <c r="U142" s="20">
        <v>0</v>
      </c>
      <c r="V142" s="20">
        <v>972.78</v>
      </c>
    </row>
    <row r="143" spans="1:22" ht="16.8" x14ac:dyDescent="0.3">
      <c r="A143" s="20">
        <v>14.3</v>
      </c>
      <c r="B143" s="20">
        <v>50.47</v>
      </c>
      <c r="C143" s="20">
        <v>50</v>
      </c>
      <c r="D143" s="20">
        <v>-0.47</v>
      </c>
      <c r="E143" s="20">
        <v>-0.01</v>
      </c>
      <c r="F143" s="20">
        <v>851.12</v>
      </c>
      <c r="Q143" s="20">
        <v>14.2</v>
      </c>
      <c r="R143" s="20">
        <v>50</v>
      </c>
      <c r="S143" s="20">
        <v>50.41</v>
      </c>
      <c r="T143" s="20">
        <v>-0.41</v>
      </c>
      <c r="U143" s="20">
        <v>0.04</v>
      </c>
      <c r="V143" s="20">
        <v>1087.3</v>
      </c>
    </row>
    <row r="144" spans="1:22" ht="16.8" x14ac:dyDescent="0.3">
      <c r="A144" s="20">
        <v>14.4</v>
      </c>
      <c r="B144" s="20">
        <v>50.46</v>
      </c>
      <c r="C144" s="20">
        <v>50</v>
      </c>
      <c r="D144" s="20">
        <v>-0.46</v>
      </c>
      <c r="E144" s="20">
        <v>0.01</v>
      </c>
      <c r="F144" s="20">
        <v>852.49</v>
      </c>
      <c r="Q144" s="20">
        <v>14.3</v>
      </c>
      <c r="R144" s="20">
        <v>50</v>
      </c>
      <c r="S144" s="20">
        <v>50.41</v>
      </c>
      <c r="T144" s="20">
        <v>-0.41</v>
      </c>
      <c r="U144" s="20">
        <v>0</v>
      </c>
      <c r="V144" s="20">
        <v>989.14</v>
      </c>
    </row>
    <row r="145" spans="1:22" ht="16.8" x14ac:dyDescent="0.3">
      <c r="A145" s="20">
        <v>14.5</v>
      </c>
      <c r="B145" s="20">
        <v>50.47</v>
      </c>
      <c r="C145" s="20">
        <v>50</v>
      </c>
      <c r="D145" s="20">
        <v>-0.47</v>
      </c>
      <c r="E145" s="20">
        <v>-0.02</v>
      </c>
      <c r="F145" s="20">
        <v>848.46</v>
      </c>
      <c r="Q145" s="20">
        <v>14.4</v>
      </c>
      <c r="R145" s="20">
        <v>50</v>
      </c>
      <c r="S145" s="20">
        <v>50.41</v>
      </c>
      <c r="T145" s="20">
        <v>-0.41</v>
      </c>
      <c r="U145" s="20">
        <v>0</v>
      </c>
      <c r="V145" s="20">
        <v>989.14</v>
      </c>
    </row>
    <row r="146" spans="1:22" ht="16.8" x14ac:dyDescent="0.3">
      <c r="A146" s="20">
        <v>14.6</v>
      </c>
      <c r="B146" s="20">
        <v>50.44</v>
      </c>
      <c r="C146" s="20">
        <v>50</v>
      </c>
      <c r="D146" s="20">
        <v>-0.44</v>
      </c>
      <c r="E146" s="20">
        <v>0.04</v>
      </c>
      <c r="F146" s="20">
        <v>854.14</v>
      </c>
      <c r="Q146" s="20">
        <v>14.5</v>
      </c>
      <c r="R146" s="20">
        <v>50</v>
      </c>
      <c r="S146" s="20">
        <v>50.45</v>
      </c>
      <c r="T146" s="20">
        <v>-0.45</v>
      </c>
      <c r="U146" s="20">
        <v>-0.04</v>
      </c>
      <c r="V146" s="20">
        <v>974.54</v>
      </c>
    </row>
    <row r="147" spans="1:22" ht="16.8" x14ac:dyDescent="0.3">
      <c r="A147" s="20">
        <v>14.7</v>
      </c>
      <c r="B147" s="20">
        <v>50.43</v>
      </c>
      <c r="C147" s="20">
        <v>50</v>
      </c>
      <c r="D147" s="20">
        <v>-0.43</v>
      </c>
      <c r="E147" s="20">
        <v>0</v>
      </c>
      <c r="F147" s="20">
        <v>853.19</v>
      </c>
      <c r="Q147" s="20">
        <v>14.6</v>
      </c>
      <c r="R147" s="20">
        <v>50</v>
      </c>
      <c r="S147" s="20">
        <v>50.44</v>
      </c>
      <c r="T147" s="20">
        <v>-0.44</v>
      </c>
      <c r="U147" s="20">
        <v>0.01</v>
      </c>
      <c r="V147" s="20">
        <v>1013.34</v>
      </c>
    </row>
    <row r="148" spans="1:22" ht="16.8" x14ac:dyDescent="0.3">
      <c r="A148" s="20">
        <v>14.8</v>
      </c>
      <c r="B148" s="20">
        <v>50.44</v>
      </c>
      <c r="C148" s="20">
        <v>50</v>
      </c>
      <c r="D148" s="20">
        <v>-0.44</v>
      </c>
      <c r="E148" s="20">
        <v>-0.01</v>
      </c>
      <c r="F148" s="20">
        <v>850.79</v>
      </c>
      <c r="Q148" s="20">
        <v>14.7</v>
      </c>
      <c r="R148" s="20">
        <v>50</v>
      </c>
      <c r="S148" s="20">
        <v>50.45</v>
      </c>
      <c r="T148" s="20">
        <v>-0.45</v>
      </c>
      <c r="U148" s="20">
        <v>-0.01</v>
      </c>
      <c r="V148" s="20">
        <v>974.54</v>
      </c>
    </row>
    <row r="149" spans="1:22" ht="16.8" x14ac:dyDescent="0.3">
      <c r="A149" s="20">
        <v>14.9</v>
      </c>
      <c r="B149" s="20">
        <v>50.43</v>
      </c>
      <c r="C149" s="20">
        <v>50</v>
      </c>
      <c r="D149" s="20">
        <v>-0.43</v>
      </c>
      <c r="E149" s="20">
        <v>0.01</v>
      </c>
      <c r="F149" s="20">
        <v>851.43</v>
      </c>
      <c r="Q149" s="20">
        <v>14.8</v>
      </c>
      <c r="R149" s="20">
        <v>50</v>
      </c>
      <c r="S149" s="20">
        <v>50.46</v>
      </c>
      <c r="T149" s="20">
        <v>-0.46</v>
      </c>
      <c r="U149" s="20">
        <v>-0.01</v>
      </c>
      <c r="V149" s="20">
        <v>969.19</v>
      </c>
    </row>
    <row r="150" spans="1:22" ht="16.8" x14ac:dyDescent="0.3">
      <c r="A150" s="20">
        <v>15</v>
      </c>
      <c r="B150" s="20">
        <v>50.43</v>
      </c>
      <c r="C150" s="20">
        <v>50</v>
      </c>
      <c r="D150" s="20">
        <v>-0.43</v>
      </c>
      <c r="E150" s="20">
        <v>0</v>
      </c>
      <c r="F150" s="20">
        <v>850.36</v>
      </c>
      <c r="Q150" s="20">
        <v>14.9</v>
      </c>
      <c r="R150" s="20">
        <v>50</v>
      </c>
      <c r="S150" s="20">
        <v>50.47</v>
      </c>
      <c r="T150" s="20">
        <v>-0.47</v>
      </c>
      <c r="U150" s="20">
        <v>0</v>
      </c>
      <c r="V150" s="20">
        <v>967.36</v>
      </c>
    </row>
    <row r="151" spans="1:22" ht="16.8" x14ac:dyDescent="0.3">
      <c r="A151" s="20">
        <v>15.1</v>
      </c>
      <c r="B151" s="20">
        <v>50.43</v>
      </c>
      <c r="C151" s="20">
        <v>50</v>
      </c>
      <c r="D151" s="20">
        <v>-0.43</v>
      </c>
      <c r="E151" s="20">
        <v>0.01</v>
      </c>
      <c r="F151" s="20">
        <v>850.86</v>
      </c>
      <c r="Q151" s="20">
        <v>15</v>
      </c>
      <c r="R151" s="20">
        <v>50</v>
      </c>
      <c r="S151" s="20">
        <v>50.46</v>
      </c>
      <c r="T151" s="20">
        <v>-0.46</v>
      </c>
      <c r="U151" s="20">
        <v>0</v>
      </c>
      <c r="V151" s="20">
        <v>981.3</v>
      </c>
    </row>
    <row r="152" spans="1:22" ht="16.8" x14ac:dyDescent="0.3">
      <c r="A152" s="20">
        <v>15.2</v>
      </c>
      <c r="B152" s="20">
        <v>50.49</v>
      </c>
      <c r="C152" s="20">
        <v>50</v>
      </c>
      <c r="D152" s="20">
        <v>-0.49</v>
      </c>
      <c r="E152" s="20">
        <v>-0.06</v>
      </c>
      <c r="F152" s="20">
        <v>839.22</v>
      </c>
      <c r="Q152" s="20">
        <v>15.1</v>
      </c>
      <c r="R152" s="20">
        <v>50</v>
      </c>
      <c r="S152" s="20">
        <v>50.46</v>
      </c>
      <c r="T152" s="20">
        <v>-0.46</v>
      </c>
      <c r="U152" s="20">
        <v>0</v>
      </c>
      <c r="V152" s="20">
        <v>969.19</v>
      </c>
    </row>
    <row r="153" spans="1:22" ht="16.8" x14ac:dyDescent="0.3">
      <c r="A153" s="20">
        <v>15.3</v>
      </c>
      <c r="B153" s="20">
        <v>50.43</v>
      </c>
      <c r="C153" s="20">
        <v>50</v>
      </c>
      <c r="D153" s="20">
        <v>-0.43</v>
      </c>
      <c r="E153" s="20">
        <v>0.06</v>
      </c>
      <c r="F153" s="20">
        <v>849.99</v>
      </c>
      <c r="Q153" s="20">
        <v>15.2</v>
      </c>
      <c r="R153" s="20">
        <v>50</v>
      </c>
      <c r="S153" s="20">
        <v>50.47</v>
      </c>
      <c r="T153" s="20">
        <v>-0.47</v>
      </c>
      <c r="U153" s="20">
        <v>-0.01</v>
      </c>
      <c r="V153" s="20">
        <v>963.6</v>
      </c>
    </row>
    <row r="154" spans="1:22" ht="16.8" x14ac:dyDescent="0.3">
      <c r="A154" s="20">
        <v>15.4</v>
      </c>
      <c r="B154" s="20">
        <v>50.47</v>
      </c>
      <c r="C154" s="20">
        <v>50</v>
      </c>
      <c r="D154" s="20">
        <v>-0.47</v>
      </c>
      <c r="E154" s="20">
        <v>-0.04</v>
      </c>
      <c r="F154" s="20">
        <v>840.83</v>
      </c>
      <c r="Q154" s="20">
        <v>15.3</v>
      </c>
      <c r="R154" s="20">
        <v>50</v>
      </c>
      <c r="S154" s="20">
        <v>50.42</v>
      </c>
      <c r="T154" s="20">
        <v>-0.42</v>
      </c>
      <c r="U154" s="20">
        <v>0.05</v>
      </c>
      <c r="V154" s="20">
        <v>1110.68</v>
      </c>
    </row>
    <row r="155" spans="1:22" ht="16.8" x14ac:dyDescent="0.3">
      <c r="A155" s="20">
        <v>15.5</v>
      </c>
      <c r="B155" s="20">
        <v>50.42</v>
      </c>
      <c r="C155" s="20">
        <v>50</v>
      </c>
      <c r="D155" s="20">
        <v>-0.42</v>
      </c>
      <c r="E155" s="20">
        <v>0.04</v>
      </c>
      <c r="F155" s="20">
        <v>848.41</v>
      </c>
      <c r="Q155" s="20">
        <v>15.4</v>
      </c>
      <c r="R155" s="20">
        <v>50</v>
      </c>
      <c r="S155" s="20">
        <v>50.41</v>
      </c>
      <c r="T155" s="20">
        <v>-0.41</v>
      </c>
      <c r="U155" s="20">
        <v>0.01</v>
      </c>
      <c r="V155" s="20">
        <v>1022.67</v>
      </c>
    </row>
    <row r="156" spans="1:22" ht="16.8" x14ac:dyDescent="0.3">
      <c r="A156" s="20">
        <v>15.6</v>
      </c>
      <c r="B156" s="20">
        <v>50.39</v>
      </c>
      <c r="C156" s="20">
        <v>50</v>
      </c>
      <c r="D156" s="20">
        <v>-0.39</v>
      </c>
      <c r="E156" s="20">
        <v>0.04</v>
      </c>
      <c r="F156" s="20">
        <v>852.99</v>
      </c>
      <c r="Q156" s="20">
        <v>15.5</v>
      </c>
      <c r="R156" s="20">
        <v>50</v>
      </c>
      <c r="S156" s="20">
        <v>50.43</v>
      </c>
      <c r="T156" s="20">
        <v>-0.43</v>
      </c>
      <c r="U156" s="20">
        <v>-0.02</v>
      </c>
      <c r="V156" s="20">
        <v>982.9</v>
      </c>
    </row>
    <row r="157" spans="1:22" ht="16.8" x14ac:dyDescent="0.3">
      <c r="A157" s="20">
        <v>15.7</v>
      </c>
      <c r="B157" s="20">
        <v>50.39</v>
      </c>
      <c r="C157" s="20">
        <v>50</v>
      </c>
      <c r="D157" s="20">
        <v>-0.39</v>
      </c>
      <c r="E157" s="20">
        <v>-0.01</v>
      </c>
      <c r="F157" s="20">
        <v>850.04</v>
      </c>
      <c r="Q157" s="20">
        <v>15.6</v>
      </c>
      <c r="R157" s="20">
        <v>50</v>
      </c>
      <c r="S157" s="20">
        <v>50.46</v>
      </c>
      <c r="T157" s="20">
        <v>-0.46</v>
      </c>
      <c r="U157" s="20">
        <v>-0.03</v>
      </c>
      <c r="V157" s="20">
        <v>970.99</v>
      </c>
    </row>
    <row r="158" spans="1:22" ht="16.8" x14ac:dyDescent="0.3">
      <c r="A158" s="20">
        <v>15.8</v>
      </c>
      <c r="B158" s="20">
        <v>50.35</v>
      </c>
      <c r="C158" s="20">
        <v>50</v>
      </c>
      <c r="D158" s="20">
        <v>-0.35</v>
      </c>
      <c r="E158" s="20">
        <v>0.04</v>
      </c>
      <c r="F158" s="20">
        <v>857.13</v>
      </c>
      <c r="Q158" s="20">
        <v>15.7</v>
      </c>
      <c r="R158" s="20">
        <v>50</v>
      </c>
      <c r="S158" s="20">
        <v>50.47</v>
      </c>
      <c r="T158" s="20">
        <v>-0.47</v>
      </c>
      <c r="U158" s="20">
        <v>-0.01</v>
      </c>
      <c r="V158" s="20">
        <v>967.36</v>
      </c>
    </row>
    <row r="159" spans="1:22" ht="16.8" x14ac:dyDescent="0.3">
      <c r="A159" s="20">
        <v>15.9</v>
      </c>
      <c r="B159" s="20">
        <v>50.39</v>
      </c>
      <c r="C159" s="20">
        <v>50</v>
      </c>
      <c r="D159" s="20">
        <v>-0.39</v>
      </c>
      <c r="E159" s="20">
        <v>-0.04</v>
      </c>
      <c r="F159" s="20">
        <v>849.16</v>
      </c>
      <c r="Q159" s="20">
        <v>15.8</v>
      </c>
      <c r="R159" s="20">
        <v>50</v>
      </c>
      <c r="S159" s="20">
        <v>50.45</v>
      </c>
      <c r="T159" s="20">
        <v>-0.45</v>
      </c>
      <c r="U159" s="20">
        <v>0.01</v>
      </c>
      <c r="V159" s="20">
        <v>1007.54</v>
      </c>
    </row>
    <row r="160" spans="1:22" ht="16.8" x14ac:dyDescent="0.3">
      <c r="A160" s="20">
        <v>16</v>
      </c>
      <c r="B160" s="20">
        <v>50.35</v>
      </c>
      <c r="C160" s="20">
        <v>50</v>
      </c>
      <c r="D160" s="20">
        <v>-0.35</v>
      </c>
      <c r="E160" s="20">
        <v>0.03</v>
      </c>
      <c r="F160" s="20">
        <v>854.72</v>
      </c>
      <c r="Q160" s="20">
        <v>15.9</v>
      </c>
      <c r="R160" s="20">
        <v>50</v>
      </c>
      <c r="S160" s="20">
        <v>50.4</v>
      </c>
      <c r="T160" s="20">
        <v>-0.4</v>
      </c>
      <c r="U160" s="20">
        <v>0.05</v>
      </c>
      <c r="V160" s="20">
        <v>1114.3499999999999</v>
      </c>
    </row>
    <row r="161" spans="1:22" ht="16.8" x14ac:dyDescent="0.3">
      <c r="A161" s="20">
        <v>16.100000000000001</v>
      </c>
      <c r="B161" s="20">
        <v>50.42</v>
      </c>
      <c r="C161" s="20">
        <v>50</v>
      </c>
      <c r="D161" s="20">
        <v>-0.42</v>
      </c>
      <c r="E161" s="20">
        <v>-0.06</v>
      </c>
      <c r="F161" s="20">
        <v>842.05</v>
      </c>
      <c r="Q161" s="20">
        <v>16</v>
      </c>
      <c r="R161" s="20">
        <v>50</v>
      </c>
      <c r="S161" s="20">
        <v>50.43</v>
      </c>
      <c r="T161" s="20">
        <v>-0.43</v>
      </c>
      <c r="U161" s="20">
        <v>-0.02</v>
      </c>
      <c r="V161" s="20">
        <v>984.48</v>
      </c>
    </row>
    <row r="162" spans="1:22" ht="16.8" x14ac:dyDescent="0.3">
      <c r="A162" s="20">
        <v>16.2</v>
      </c>
      <c r="B162" s="20">
        <v>50.38</v>
      </c>
      <c r="C162" s="20">
        <v>50</v>
      </c>
      <c r="D162" s="20">
        <v>-0.38</v>
      </c>
      <c r="E162" s="20">
        <v>0.04</v>
      </c>
      <c r="F162" s="20">
        <v>848.81</v>
      </c>
      <c r="Q162" s="20">
        <v>16.100000000000001</v>
      </c>
      <c r="R162" s="20">
        <v>50</v>
      </c>
      <c r="S162" s="20">
        <v>50.44</v>
      </c>
      <c r="T162" s="20">
        <v>-0.44</v>
      </c>
      <c r="U162" s="20">
        <v>-0.02</v>
      </c>
      <c r="V162" s="20">
        <v>977.96</v>
      </c>
    </row>
    <row r="163" spans="1:22" ht="16.8" x14ac:dyDescent="0.3">
      <c r="A163" s="20">
        <v>16.3</v>
      </c>
      <c r="B163" s="20">
        <v>50.37</v>
      </c>
      <c r="C163" s="20">
        <v>50</v>
      </c>
      <c r="D163" s="20">
        <v>-0.37</v>
      </c>
      <c r="E163" s="20">
        <v>0.01</v>
      </c>
      <c r="F163" s="20">
        <v>848.69</v>
      </c>
      <c r="Q163" s="20">
        <v>16.2</v>
      </c>
      <c r="R163" s="20">
        <v>50</v>
      </c>
      <c r="S163" s="20">
        <v>50.45</v>
      </c>
      <c r="T163" s="20">
        <v>-0.45</v>
      </c>
      <c r="U163" s="20">
        <v>-0.01</v>
      </c>
      <c r="V163" s="20">
        <v>972.78</v>
      </c>
    </row>
    <row r="164" spans="1:22" ht="16.8" x14ac:dyDescent="0.3">
      <c r="A164" s="20">
        <v>16.399999999999999</v>
      </c>
      <c r="B164" s="20">
        <v>50.37</v>
      </c>
      <c r="C164" s="20">
        <v>50</v>
      </c>
      <c r="D164" s="20">
        <v>-0.37</v>
      </c>
      <c r="E164" s="20">
        <v>0</v>
      </c>
      <c r="F164" s="20">
        <v>847.74</v>
      </c>
      <c r="Q164" s="20">
        <v>16.3</v>
      </c>
      <c r="R164" s="20">
        <v>50</v>
      </c>
      <c r="S164" s="20">
        <v>50.45</v>
      </c>
      <c r="T164" s="20">
        <v>-0.45</v>
      </c>
      <c r="U164" s="20">
        <v>0.01</v>
      </c>
      <c r="V164" s="20">
        <v>999.41</v>
      </c>
    </row>
    <row r="165" spans="1:22" ht="16.8" x14ac:dyDescent="0.3">
      <c r="A165" s="20">
        <v>16.5</v>
      </c>
      <c r="B165" s="20">
        <v>50.36</v>
      </c>
      <c r="C165" s="20">
        <v>50</v>
      </c>
      <c r="D165" s="20">
        <v>-0.36</v>
      </c>
      <c r="E165" s="20">
        <v>0.01</v>
      </c>
      <c r="F165" s="20">
        <v>849.07</v>
      </c>
      <c r="Q165" s="20">
        <v>16.399999999999999</v>
      </c>
      <c r="R165" s="20">
        <v>50</v>
      </c>
      <c r="S165" s="20">
        <v>50.46</v>
      </c>
      <c r="T165" s="20">
        <v>-0.46</v>
      </c>
      <c r="U165" s="20">
        <v>-0.01</v>
      </c>
      <c r="V165" s="20">
        <v>970.99</v>
      </c>
    </row>
    <row r="166" spans="1:22" ht="16.8" x14ac:dyDescent="0.3">
      <c r="A166" s="20">
        <v>16.600000000000001</v>
      </c>
      <c r="B166" s="20">
        <v>50.35</v>
      </c>
      <c r="C166" s="20">
        <v>50</v>
      </c>
      <c r="D166" s="20">
        <v>-0.35</v>
      </c>
      <c r="E166" s="20">
        <v>0.01</v>
      </c>
      <c r="F166" s="20">
        <v>850.19</v>
      </c>
      <c r="Q166" s="20">
        <v>16.5</v>
      </c>
      <c r="R166" s="20">
        <v>50</v>
      </c>
      <c r="S166" s="20">
        <v>50.44</v>
      </c>
      <c r="T166" s="20">
        <v>-0.44</v>
      </c>
      <c r="U166" s="20">
        <v>0.02</v>
      </c>
      <c r="V166" s="20">
        <v>1034.28</v>
      </c>
    </row>
    <row r="167" spans="1:22" ht="16.8" x14ac:dyDescent="0.3">
      <c r="A167" s="20">
        <v>16.7</v>
      </c>
      <c r="B167" s="20">
        <v>50.33</v>
      </c>
      <c r="C167" s="20">
        <v>50</v>
      </c>
      <c r="D167" s="20">
        <v>-0.33</v>
      </c>
      <c r="E167" s="20">
        <v>0.02</v>
      </c>
      <c r="F167" s="20">
        <v>852.74</v>
      </c>
      <c r="Q167" s="20">
        <v>16.600000000000001</v>
      </c>
      <c r="R167" s="20">
        <v>50</v>
      </c>
      <c r="S167" s="20">
        <v>50.45</v>
      </c>
      <c r="T167" s="20">
        <v>-0.45</v>
      </c>
      <c r="U167" s="20">
        <v>-0.02</v>
      </c>
      <c r="V167" s="20">
        <v>972.78</v>
      </c>
    </row>
    <row r="168" spans="1:22" ht="16.8" x14ac:dyDescent="0.3">
      <c r="A168" s="20">
        <v>16.8</v>
      </c>
      <c r="B168" s="20">
        <v>50.34</v>
      </c>
      <c r="C168" s="20">
        <v>50</v>
      </c>
      <c r="D168" s="20">
        <v>-0.34</v>
      </c>
      <c r="E168" s="20">
        <v>-0.01</v>
      </c>
      <c r="F168" s="20">
        <v>849.52</v>
      </c>
      <c r="Q168" s="20">
        <v>16.7</v>
      </c>
      <c r="R168" s="20">
        <v>50</v>
      </c>
      <c r="S168" s="20">
        <v>50.42</v>
      </c>
      <c r="T168" s="20">
        <v>-0.42</v>
      </c>
      <c r="U168" s="20">
        <v>0.03</v>
      </c>
      <c r="V168" s="20">
        <v>1067.69</v>
      </c>
    </row>
    <row r="169" spans="1:22" ht="16.8" x14ac:dyDescent="0.3">
      <c r="A169" s="20">
        <v>16.899999999999999</v>
      </c>
      <c r="B169" s="20">
        <v>50.37</v>
      </c>
      <c r="C169" s="20">
        <v>50</v>
      </c>
      <c r="D169" s="20">
        <v>-0.37</v>
      </c>
      <c r="E169" s="20">
        <v>-0.02</v>
      </c>
      <c r="F169" s="20">
        <v>844.82</v>
      </c>
      <c r="Q169" s="20">
        <v>16.8</v>
      </c>
      <c r="R169" s="20">
        <v>50</v>
      </c>
      <c r="S169" s="20">
        <v>50.46</v>
      </c>
      <c r="T169" s="20">
        <v>-0.46</v>
      </c>
      <c r="U169" s="20">
        <v>-0.04</v>
      </c>
      <c r="V169" s="20">
        <v>970.99</v>
      </c>
    </row>
    <row r="170" spans="1:22" ht="16.8" x14ac:dyDescent="0.3">
      <c r="A170" s="20">
        <v>17</v>
      </c>
      <c r="B170" s="20">
        <v>50.37</v>
      </c>
      <c r="C170" s="20">
        <v>50</v>
      </c>
      <c r="D170" s="20">
        <v>-0.37</v>
      </c>
      <c r="E170" s="20">
        <v>0</v>
      </c>
      <c r="F170" s="20">
        <v>844.53</v>
      </c>
      <c r="Q170" s="20">
        <v>16.899999999999999</v>
      </c>
      <c r="R170" s="20">
        <v>50</v>
      </c>
      <c r="S170" s="20">
        <v>50.48</v>
      </c>
      <c r="T170" s="20">
        <v>-0.48</v>
      </c>
      <c r="U170" s="20">
        <v>-0.02</v>
      </c>
      <c r="V170" s="20">
        <v>961.68</v>
      </c>
    </row>
    <row r="171" spans="1:22" ht="16.8" x14ac:dyDescent="0.3">
      <c r="A171" s="20">
        <v>17.100000000000001</v>
      </c>
      <c r="B171" s="20">
        <v>50.29</v>
      </c>
      <c r="C171" s="20">
        <v>50</v>
      </c>
      <c r="D171" s="20">
        <v>-0.28999999999999998</v>
      </c>
      <c r="E171" s="20">
        <v>7.0000000000000007E-2</v>
      </c>
      <c r="F171" s="20">
        <v>856.46</v>
      </c>
      <c r="Q171" s="20">
        <v>17</v>
      </c>
      <c r="R171" s="20">
        <v>50</v>
      </c>
      <c r="S171" s="20">
        <v>50.47</v>
      </c>
      <c r="T171" s="20">
        <v>-0.47</v>
      </c>
      <c r="U171" s="20">
        <v>0.01</v>
      </c>
      <c r="V171" s="20">
        <v>1003.01</v>
      </c>
    </row>
    <row r="172" spans="1:22" ht="16.8" x14ac:dyDescent="0.3">
      <c r="A172" s="20">
        <v>17.2</v>
      </c>
      <c r="B172" s="20">
        <v>50.34</v>
      </c>
      <c r="C172" s="20">
        <v>50</v>
      </c>
      <c r="D172" s="20">
        <v>-0.34</v>
      </c>
      <c r="E172" s="20">
        <v>-0.04</v>
      </c>
      <c r="F172" s="20">
        <v>846.63</v>
      </c>
      <c r="Q172" s="20">
        <v>17.100000000000001</v>
      </c>
      <c r="R172" s="20">
        <v>50</v>
      </c>
      <c r="S172" s="20">
        <v>50.45</v>
      </c>
      <c r="T172" s="20">
        <v>-0.45</v>
      </c>
      <c r="U172" s="20">
        <v>0.01</v>
      </c>
      <c r="V172" s="20">
        <v>1007.54</v>
      </c>
    </row>
    <row r="173" spans="1:22" ht="16.8" x14ac:dyDescent="0.3">
      <c r="A173" s="20">
        <v>17.3</v>
      </c>
      <c r="B173" s="20">
        <v>50.26</v>
      </c>
      <c r="C173" s="20">
        <v>50</v>
      </c>
      <c r="D173" s="20">
        <v>-0.26</v>
      </c>
      <c r="E173" s="20">
        <v>0.08</v>
      </c>
      <c r="F173" s="20">
        <v>860.21</v>
      </c>
      <c r="Q173" s="20">
        <v>17.2</v>
      </c>
      <c r="R173" s="20">
        <v>50</v>
      </c>
      <c r="S173" s="20">
        <v>50.45</v>
      </c>
      <c r="T173" s="20">
        <v>-0.45</v>
      </c>
      <c r="U173" s="20">
        <v>0.01</v>
      </c>
      <c r="V173" s="20">
        <v>999.41</v>
      </c>
    </row>
    <row r="174" spans="1:22" ht="16.8" x14ac:dyDescent="0.3">
      <c r="A174" s="20">
        <v>17.399999999999999</v>
      </c>
      <c r="B174" s="20">
        <v>50.29</v>
      </c>
      <c r="C174" s="20">
        <v>50</v>
      </c>
      <c r="D174" s="20">
        <v>-0.28999999999999998</v>
      </c>
      <c r="E174" s="20">
        <v>-0.03</v>
      </c>
      <c r="F174" s="20">
        <v>853.19</v>
      </c>
      <c r="Q174" s="20">
        <v>17.3</v>
      </c>
      <c r="R174" s="20">
        <v>50</v>
      </c>
      <c r="S174" s="20">
        <v>50.46</v>
      </c>
      <c r="T174" s="20">
        <v>-0.46</v>
      </c>
      <c r="U174" s="20">
        <v>-0.02</v>
      </c>
      <c r="V174" s="20">
        <v>969.19</v>
      </c>
    </row>
    <row r="175" spans="1:22" ht="16.8" x14ac:dyDescent="0.3">
      <c r="A175" s="20">
        <v>17.5</v>
      </c>
      <c r="B175" s="20">
        <v>50.31</v>
      </c>
      <c r="C175" s="20">
        <v>50</v>
      </c>
      <c r="D175" s="20">
        <v>-0.31</v>
      </c>
      <c r="E175" s="20">
        <v>-0.02</v>
      </c>
      <c r="F175" s="20">
        <v>850.33</v>
      </c>
      <c r="Q175" s="20">
        <v>17.399999999999999</v>
      </c>
      <c r="R175" s="20">
        <v>50</v>
      </c>
      <c r="S175" s="20">
        <v>50.47</v>
      </c>
      <c r="T175" s="20">
        <v>-0.47</v>
      </c>
      <c r="U175" s="20">
        <v>-0.01</v>
      </c>
      <c r="V175" s="20">
        <v>965.51</v>
      </c>
    </row>
    <row r="176" spans="1:22" ht="16.8" x14ac:dyDescent="0.3">
      <c r="A176" s="20">
        <v>17.600000000000001</v>
      </c>
      <c r="B176" s="20">
        <v>50.29</v>
      </c>
      <c r="C176" s="20">
        <v>50</v>
      </c>
      <c r="D176" s="20">
        <v>-0.28999999999999998</v>
      </c>
      <c r="E176" s="20">
        <v>0.01</v>
      </c>
      <c r="F176" s="20">
        <v>852.12</v>
      </c>
      <c r="Q176" s="20">
        <v>17.5</v>
      </c>
      <c r="R176" s="20">
        <v>50</v>
      </c>
      <c r="S176" s="20">
        <v>50.47</v>
      </c>
      <c r="T176" s="20">
        <v>-0.47</v>
      </c>
      <c r="U176" s="20">
        <v>0</v>
      </c>
      <c r="V176" s="20">
        <v>979.59</v>
      </c>
    </row>
    <row r="177" spans="1:22" ht="16.8" x14ac:dyDescent="0.3">
      <c r="A177" s="20">
        <v>17.7</v>
      </c>
      <c r="B177" s="20">
        <v>50.29</v>
      </c>
      <c r="C177" s="20">
        <v>50</v>
      </c>
      <c r="D177" s="20">
        <v>-0.28999999999999998</v>
      </c>
      <c r="E177" s="20">
        <v>0</v>
      </c>
      <c r="F177" s="20">
        <v>851.27</v>
      </c>
      <c r="Q177" s="20">
        <v>17.600000000000001</v>
      </c>
      <c r="R177" s="20">
        <v>50</v>
      </c>
      <c r="S177" s="20">
        <v>50.39</v>
      </c>
      <c r="T177" s="20">
        <v>-0.39</v>
      </c>
      <c r="U177" s="20">
        <v>7.0000000000000007E-2</v>
      </c>
      <c r="V177" s="20">
        <v>1152.31</v>
      </c>
    </row>
    <row r="178" spans="1:22" ht="16.8" x14ac:dyDescent="0.3">
      <c r="A178" s="20">
        <v>17.8</v>
      </c>
      <c r="B178" s="20">
        <v>50.28</v>
      </c>
      <c r="C178" s="20">
        <v>50</v>
      </c>
      <c r="D178" s="20">
        <v>-0.28000000000000003</v>
      </c>
      <c r="E178" s="20">
        <v>0.01</v>
      </c>
      <c r="F178" s="20">
        <v>852.77</v>
      </c>
      <c r="Q178" s="20">
        <v>17.7</v>
      </c>
      <c r="R178" s="20">
        <v>50</v>
      </c>
      <c r="S178" s="20">
        <v>50.44</v>
      </c>
      <c r="T178" s="20">
        <v>-0.44</v>
      </c>
      <c r="U178" s="20">
        <v>-0.05</v>
      </c>
      <c r="V178" s="20">
        <v>977.96</v>
      </c>
    </row>
    <row r="179" spans="1:22" ht="16.8" x14ac:dyDescent="0.3">
      <c r="A179" s="20">
        <v>17.899999999999999</v>
      </c>
      <c r="B179" s="20">
        <v>50.22</v>
      </c>
      <c r="C179" s="20">
        <v>50</v>
      </c>
      <c r="D179" s="20">
        <v>-0.22</v>
      </c>
      <c r="E179" s="20">
        <v>0.06</v>
      </c>
      <c r="F179" s="20">
        <v>861.81</v>
      </c>
      <c r="Q179" s="20">
        <v>17.8</v>
      </c>
      <c r="R179" s="20">
        <v>50</v>
      </c>
      <c r="S179" s="20">
        <v>50.45</v>
      </c>
      <c r="T179" s="20">
        <v>-0.45</v>
      </c>
      <c r="U179" s="20">
        <v>-0.01</v>
      </c>
      <c r="V179" s="20">
        <v>974.54</v>
      </c>
    </row>
    <row r="180" spans="1:22" ht="16.8" x14ac:dyDescent="0.3">
      <c r="A180" s="20">
        <v>18</v>
      </c>
      <c r="B180" s="20">
        <v>50.25</v>
      </c>
      <c r="C180" s="20">
        <v>50</v>
      </c>
      <c r="D180" s="20">
        <v>-0.25</v>
      </c>
      <c r="E180" s="20">
        <v>-0.02</v>
      </c>
      <c r="F180" s="20">
        <v>856.68</v>
      </c>
      <c r="Q180" s="20">
        <v>17.899999999999999</v>
      </c>
      <c r="R180" s="20">
        <v>50</v>
      </c>
      <c r="S180" s="20">
        <v>50.47</v>
      </c>
      <c r="T180" s="20">
        <v>-0.47</v>
      </c>
      <c r="U180" s="20">
        <v>-0.02</v>
      </c>
      <c r="V180" s="20">
        <v>963.6</v>
      </c>
    </row>
    <row r="181" spans="1:22" ht="16.8" x14ac:dyDescent="0.3">
      <c r="A181" s="20">
        <v>18.100000000000001</v>
      </c>
      <c r="B181" s="20">
        <v>50.29</v>
      </c>
      <c r="C181" s="20">
        <v>50</v>
      </c>
      <c r="D181" s="20">
        <v>-0.28999999999999998</v>
      </c>
      <c r="E181" s="20">
        <v>-0.04</v>
      </c>
      <c r="F181" s="20">
        <v>849.52</v>
      </c>
      <c r="Q181" s="20">
        <v>18</v>
      </c>
      <c r="R181" s="20">
        <v>50</v>
      </c>
      <c r="S181" s="20">
        <v>50.52</v>
      </c>
      <c r="T181" s="20">
        <v>-0.52</v>
      </c>
      <c r="U181" s="20">
        <v>-0.04</v>
      </c>
      <c r="V181" s="20">
        <v>942.55</v>
      </c>
    </row>
    <row r="182" spans="1:22" ht="16.8" x14ac:dyDescent="0.3">
      <c r="A182" s="20">
        <v>18.2</v>
      </c>
      <c r="B182" s="20">
        <v>50.22</v>
      </c>
      <c r="C182" s="20">
        <v>50</v>
      </c>
      <c r="D182" s="20">
        <v>-0.22</v>
      </c>
      <c r="E182" s="20">
        <v>7.0000000000000007E-2</v>
      </c>
      <c r="F182" s="20">
        <v>861.71</v>
      </c>
      <c r="Q182" s="20">
        <v>18.100000000000001</v>
      </c>
      <c r="R182" s="20">
        <v>50</v>
      </c>
      <c r="S182" s="20">
        <v>50.48</v>
      </c>
      <c r="T182" s="20">
        <v>-0.48</v>
      </c>
      <c r="U182" s="20">
        <v>0.03</v>
      </c>
      <c r="V182" s="20">
        <v>1051.46</v>
      </c>
    </row>
    <row r="183" spans="1:22" ht="16.8" x14ac:dyDescent="0.3">
      <c r="A183" s="20">
        <v>18.3</v>
      </c>
      <c r="B183" s="20">
        <v>50.25</v>
      </c>
      <c r="C183" s="20">
        <v>50</v>
      </c>
      <c r="D183" s="20">
        <v>-0.25</v>
      </c>
      <c r="E183" s="20">
        <v>-0.03</v>
      </c>
      <c r="F183" s="20">
        <v>854.95</v>
      </c>
      <c r="Q183" s="20">
        <v>18.2</v>
      </c>
      <c r="R183" s="20">
        <v>50</v>
      </c>
      <c r="S183" s="20">
        <v>50.53</v>
      </c>
      <c r="T183" s="20">
        <v>-0.53</v>
      </c>
      <c r="U183" s="20">
        <v>-0.05</v>
      </c>
      <c r="V183" s="20">
        <v>932.88</v>
      </c>
    </row>
    <row r="184" spans="1:22" ht="16.8" x14ac:dyDescent="0.3">
      <c r="A184" s="20">
        <v>18.399999999999999</v>
      </c>
      <c r="B184" s="20">
        <v>50.26</v>
      </c>
      <c r="C184" s="20">
        <v>50</v>
      </c>
      <c r="D184" s="20">
        <v>-0.26</v>
      </c>
      <c r="E184" s="20">
        <v>-0.02</v>
      </c>
      <c r="F184" s="20">
        <v>852.18</v>
      </c>
      <c r="Q184" s="20">
        <v>18.3</v>
      </c>
      <c r="R184" s="20">
        <v>50</v>
      </c>
      <c r="S184" s="20">
        <v>50.5</v>
      </c>
      <c r="T184" s="20">
        <v>-0.5</v>
      </c>
      <c r="U184" s="20">
        <v>0.03</v>
      </c>
      <c r="V184" s="20">
        <v>1046.57</v>
      </c>
    </row>
    <row r="185" spans="1:22" ht="16.8" x14ac:dyDescent="0.3">
      <c r="A185" s="20">
        <v>18.5</v>
      </c>
      <c r="B185" s="20">
        <v>50.19</v>
      </c>
      <c r="C185" s="20">
        <v>50</v>
      </c>
      <c r="D185" s="20">
        <v>-0.19</v>
      </c>
      <c r="E185" s="20">
        <v>7.0000000000000007E-2</v>
      </c>
      <c r="F185" s="20">
        <v>863.94</v>
      </c>
      <c r="Q185" s="20">
        <v>18.399999999999999</v>
      </c>
      <c r="R185" s="20">
        <v>50</v>
      </c>
      <c r="S185" s="20">
        <v>50.54</v>
      </c>
      <c r="T185" s="20">
        <v>-0.54</v>
      </c>
      <c r="U185" s="20">
        <v>-0.04</v>
      </c>
      <c r="V185" s="20">
        <v>925.05</v>
      </c>
    </row>
    <row r="186" spans="1:22" ht="16.8" x14ac:dyDescent="0.3">
      <c r="A186" s="20">
        <v>18.600000000000001</v>
      </c>
      <c r="B186" s="20">
        <v>50.23</v>
      </c>
      <c r="C186" s="20">
        <v>50</v>
      </c>
      <c r="D186" s="20">
        <v>-0.23</v>
      </c>
      <c r="E186" s="20">
        <v>-0.04</v>
      </c>
      <c r="F186" s="20">
        <v>855.11</v>
      </c>
      <c r="Q186" s="20">
        <v>18.5</v>
      </c>
      <c r="R186" s="20">
        <v>50</v>
      </c>
      <c r="S186" s="20">
        <v>50.52</v>
      </c>
      <c r="T186" s="20">
        <v>-0.52</v>
      </c>
      <c r="U186" s="20">
        <v>0.02</v>
      </c>
      <c r="V186" s="20">
        <v>1003.8</v>
      </c>
    </row>
    <row r="187" spans="1:22" ht="16.8" x14ac:dyDescent="0.3">
      <c r="A187" s="20">
        <v>18.7</v>
      </c>
      <c r="B187" s="20">
        <v>50.23</v>
      </c>
      <c r="C187" s="20">
        <v>50</v>
      </c>
      <c r="D187" s="20">
        <v>-0.23</v>
      </c>
      <c r="E187" s="20">
        <v>0</v>
      </c>
      <c r="F187" s="20">
        <v>855.43</v>
      </c>
      <c r="Q187" s="20">
        <v>18.600000000000001</v>
      </c>
      <c r="R187" s="20">
        <v>50</v>
      </c>
      <c r="S187" s="20">
        <v>50.54</v>
      </c>
      <c r="T187" s="20">
        <v>-0.54</v>
      </c>
      <c r="U187" s="20">
        <v>-0.02</v>
      </c>
      <c r="V187" s="20">
        <v>925.05</v>
      </c>
    </row>
    <row r="188" spans="1:22" ht="16.8" x14ac:dyDescent="0.3">
      <c r="A188" s="20">
        <v>18.8</v>
      </c>
      <c r="B188" s="20">
        <v>50.22</v>
      </c>
      <c r="C188" s="20">
        <v>50</v>
      </c>
      <c r="D188" s="20">
        <v>-0.22</v>
      </c>
      <c r="E188" s="20">
        <v>0.02</v>
      </c>
      <c r="F188" s="20">
        <v>857.76</v>
      </c>
      <c r="Q188" s="20">
        <v>18.7</v>
      </c>
      <c r="R188" s="20">
        <v>50</v>
      </c>
      <c r="S188" s="20">
        <v>50.5</v>
      </c>
      <c r="T188" s="20">
        <v>-0.5</v>
      </c>
      <c r="U188" s="20">
        <v>0.04</v>
      </c>
      <c r="V188" s="20">
        <v>1065.98</v>
      </c>
    </row>
    <row r="189" spans="1:22" ht="16.8" x14ac:dyDescent="0.3">
      <c r="A189" s="20">
        <v>18.899999999999999</v>
      </c>
      <c r="B189" s="20">
        <v>50.18</v>
      </c>
      <c r="C189" s="20">
        <v>50</v>
      </c>
      <c r="D189" s="20">
        <v>-0.18</v>
      </c>
      <c r="E189" s="20">
        <v>0.04</v>
      </c>
      <c r="F189" s="20">
        <v>863.33</v>
      </c>
      <c r="Q189" s="20">
        <v>18.8</v>
      </c>
      <c r="R189" s="20">
        <v>50</v>
      </c>
      <c r="S189" s="20">
        <v>50.53</v>
      </c>
      <c r="T189" s="20">
        <v>-0.53</v>
      </c>
      <c r="U189" s="20">
        <v>-0.02</v>
      </c>
      <c r="V189" s="20">
        <v>935.39</v>
      </c>
    </row>
    <row r="190" spans="1:22" ht="16.8" x14ac:dyDescent="0.3">
      <c r="A190" s="20">
        <v>19</v>
      </c>
      <c r="B190" s="20">
        <v>50.2</v>
      </c>
      <c r="C190" s="20">
        <v>50</v>
      </c>
      <c r="D190" s="20">
        <v>-0.2</v>
      </c>
      <c r="E190" s="20">
        <v>-0.02</v>
      </c>
      <c r="F190" s="20">
        <v>857.99</v>
      </c>
      <c r="Q190" s="20">
        <v>18.899999999999999</v>
      </c>
      <c r="R190" s="20">
        <v>50</v>
      </c>
      <c r="S190" s="20">
        <v>50.62</v>
      </c>
      <c r="T190" s="20">
        <v>-0.62</v>
      </c>
      <c r="U190" s="20">
        <v>-0.09</v>
      </c>
      <c r="V190" s="20">
        <v>863.42</v>
      </c>
    </row>
    <row r="191" spans="1:22" ht="16.8" x14ac:dyDescent="0.3">
      <c r="A191" s="20">
        <v>19.100000000000001</v>
      </c>
      <c r="B191" s="20">
        <v>50.2</v>
      </c>
      <c r="C191" s="20">
        <v>50</v>
      </c>
      <c r="D191" s="20">
        <v>-0.2</v>
      </c>
      <c r="E191" s="20">
        <v>0.01</v>
      </c>
      <c r="F191" s="20">
        <v>859.46</v>
      </c>
      <c r="Q191" s="20">
        <v>19</v>
      </c>
      <c r="R191" s="20">
        <v>50</v>
      </c>
      <c r="S191" s="20">
        <v>50.58</v>
      </c>
      <c r="T191" s="20">
        <v>-0.57999999999999996</v>
      </c>
      <c r="U191" s="20">
        <v>0.03</v>
      </c>
      <c r="V191" s="20">
        <v>1015.17</v>
      </c>
    </row>
    <row r="192" spans="1:22" ht="16.8" x14ac:dyDescent="0.3">
      <c r="A192" s="20">
        <v>19.2</v>
      </c>
      <c r="B192" s="20">
        <v>50.2</v>
      </c>
      <c r="C192" s="20">
        <v>50</v>
      </c>
      <c r="D192" s="20">
        <v>-0.2</v>
      </c>
      <c r="E192" s="20">
        <v>0</v>
      </c>
      <c r="F192" s="20">
        <v>858.88</v>
      </c>
      <c r="Q192" s="20">
        <v>19.100000000000001</v>
      </c>
      <c r="R192" s="20">
        <v>50</v>
      </c>
      <c r="S192" s="20">
        <v>50.59</v>
      </c>
      <c r="T192" s="20">
        <v>-0.59</v>
      </c>
      <c r="U192" s="20">
        <v>-0.01</v>
      </c>
      <c r="V192" s="20">
        <v>887.44</v>
      </c>
    </row>
    <row r="193" spans="1:22" ht="16.8" x14ac:dyDescent="0.3">
      <c r="A193" s="20">
        <v>19.3</v>
      </c>
      <c r="B193" s="20">
        <v>50.19</v>
      </c>
      <c r="C193" s="20">
        <v>50</v>
      </c>
      <c r="D193" s="20">
        <v>-0.19</v>
      </c>
      <c r="E193" s="20">
        <v>0.01</v>
      </c>
      <c r="F193" s="20">
        <v>859.88</v>
      </c>
      <c r="Q193" s="20">
        <v>19.2</v>
      </c>
      <c r="R193" s="20">
        <v>50</v>
      </c>
      <c r="S193" s="20">
        <v>50.6</v>
      </c>
      <c r="T193" s="20">
        <v>-0.6</v>
      </c>
      <c r="U193" s="20">
        <v>-0.01</v>
      </c>
      <c r="V193" s="20">
        <v>879.92</v>
      </c>
    </row>
    <row r="194" spans="1:22" ht="16.8" x14ac:dyDescent="0.3">
      <c r="A194" s="20">
        <v>19.399999999999999</v>
      </c>
      <c r="B194" s="20">
        <v>50.2</v>
      </c>
      <c r="C194" s="20">
        <v>50</v>
      </c>
      <c r="D194" s="20">
        <v>-0.2</v>
      </c>
      <c r="E194" s="20">
        <v>-0.02</v>
      </c>
      <c r="F194" s="20">
        <v>856.5</v>
      </c>
      <c r="Q194" s="20">
        <v>19.3</v>
      </c>
      <c r="R194" s="20">
        <v>50</v>
      </c>
      <c r="S194" s="20">
        <v>50.63</v>
      </c>
      <c r="T194" s="20">
        <v>-0.63</v>
      </c>
      <c r="U194" s="20">
        <v>-0.03</v>
      </c>
      <c r="V194" s="20">
        <v>849.66</v>
      </c>
    </row>
    <row r="195" spans="1:22" ht="16.8" x14ac:dyDescent="0.3">
      <c r="A195" s="20">
        <v>19.5</v>
      </c>
      <c r="B195" s="20">
        <v>50.18</v>
      </c>
      <c r="C195" s="20">
        <v>50</v>
      </c>
      <c r="D195" s="20">
        <v>-0.18</v>
      </c>
      <c r="E195" s="20">
        <v>0.02</v>
      </c>
      <c r="F195" s="20">
        <v>860.63</v>
      </c>
      <c r="Q195" s="20">
        <v>19.399999999999999</v>
      </c>
      <c r="R195" s="20">
        <v>50</v>
      </c>
      <c r="S195" s="20">
        <v>50.61</v>
      </c>
      <c r="T195" s="20">
        <v>-0.61</v>
      </c>
      <c r="U195" s="20">
        <v>0.02</v>
      </c>
      <c r="V195" s="20">
        <v>939.59</v>
      </c>
    </row>
    <row r="196" spans="1:22" ht="16.8" x14ac:dyDescent="0.3">
      <c r="A196" s="20">
        <v>19.600000000000001</v>
      </c>
      <c r="B196" s="20">
        <v>50.19</v>
      </c>
      <c r="C196" s="20">
        <v>50</v>
      </c>
      <c r="D196" s="20">
        <v>-0.19</v>
      </c>
      <c r="E196" s="20">
        <v>-0.01</v>
      </c>
      <c r="F196" s="20">
        <v>857.65</v>
      </c>
      <c r="Q196" s="20">
        <v>19.5</v>
      </c>
      <c r="R196" s="20">
        <v>50</v>
      </c>
      <c r="S196" s="20">
        <v>50.56</v>
      </c>
      <c r="T196" s="20">
        <v>-0.56000000000000005</v>
      </c>
      <c r="U196" s="20">
        <v>0.05</v>
      </c>
      <c r="V196" s="20">
        <v>1081.93</v>
      </c>
    </row>
    <row r="197" spans="1:22" ht="16.8" x14ac:dyDescent="0.3">
      <c r="A197" s="20">
        <v>19.7</v>
      </c>
      <c r="B197" s="20">
        <v>50.2</v>
      </c>
      <c r="C197" s="20">
        <v>50</v>
      </c>
      <c r="D197" s="20">
        <v>-0.2</v>
      </c>
      <c r="E197" s="20">
        <v>-0.01</v>
      </c>
      <c r="F197" s="20">
        <v>855.37</v>
      </c>
      <c r="Q197" s="20">
        <v>19.600000000000001</v>
      </c>
      <c r="R197" s="20">
        <v>50</v>
      </c>
      <c r="S197" s="20">
        <v>50.55</v>
      </c>
      <c r="T197" s="20">
        <v>-0.55000000000000004</v>
      </c>
      <c r="U197" s="20">
        <v>0.01</v>
      </c>
      <c r="V197" s="20">
        <v>966.08</v>
      </c>
    </row>
    <row r="198" spans="1:22" ht="16.8" x14ac:dyDescent="0.3">
      <c r="A198" s="20">
        <v>19.8</v>
      </c>
      <c r="B198" s="20">
        <v>50.18</v>
      </c>
      <c r="C198" s="20">
        <v>50</v>
      </c>
      <c r="D198" s="20">
        <v>-0.18</v>
      </c>
      <c r="E198" s="20">
        <v>0.02</v>
      </c>
      <c r="F198" s="20">
        <v>859.41</v>
      </c>
      <c r="Q198" s="20">
        <v>19.7</v>
      </c>
      <c r="R198" s="20">
        <v>50</v>
      </c>
      <c r="S198" s="20">
        <v>50.52</v>
      </c>
      <c r="T198" s="20">
        <v>-0.52</v>
      </c>
      <c r="U198" s="20">
        <v>0.03</v>
      </c>
      <c r="V198" s="20">
        <v>1028.93</v>
      </c>
    </row>
    <row r="199" spans="1:22" ht="16.8" x14ac:dyDescent="0.3">
      <c r="A199" s="20">
        <v>19.899999999999999</v>
      </c>
      <c r="B199" s="20">
        <v>50.18</v>
      </c>
      <c r="C199" s="20">
        <v>50</v>
      </c>
      <c r="D199" s="20">
        <v>-0.18</v>
      </c>
      <c r="E199" s="20">
        <v>0</v>
      </c>
      <c r="F199" s="20">
        <v>858.55</v>
      </c>
      <c r="Q199" s="20">
        <v>19.8</v>
      </c>
      <c r="R199" s="20">
        <v>50</v>
      </c>
      <c r="S199" s="20">
        <v>50.55</v>
      </c>
      <c r="T199" s="20">
        <v>-0.55000000000000004</v>
      </c>
      <c r="U199" s="20">
        <v>-0.03</v>
      </c>
      <c r="V199" s="20">
        <v>922.33</v>
      </c>
    </row>
    <row r="200" spans="1:22" ht="16.8" x14ac:dyDescent="0.3">
      <c r="A200" s="20">
        <v>20</v>
      </c>
      <c r="B200" s="20">
        <v>50.17</v>
      </c>
      <c r="C200" s="20">
        <v>50</v>
      </c>
      <c r="D200" s="20">
        <v>-0.17</v>
      </c>
      <c r="E200" s="20">
        <v>0.01</v>
      </c>
      <c r="F200" s="20">
        <v>859.58</v>
      </c>
      <c r="Q200" s="20">
        <v>19.899999999999999</v>
      </c>
      <c r="R200" s="20">
        <v>50</v>
      </c>
      <c r="S200" s="20">
        <v>50.56</v>
      </c>
      <c r="T200" s="20">
        <v>-0.56000000000000005</v>
      </c>
      <c r="U200" s="20">
        <v>-0.01</v>
      </c>
      <c r="V200" s="20">
        <v>913.78</v>
      </c>
    </row>
    <row r="201" spans="1:22" ht="16.8" x14ac:dyDescent="0.3">
      <c r="A201" s="20">
        <v>20.100000000000001</v>
      </c>
      <c r="B201" s="20">
        <v>50.18</v>
      </c>
      <c r="C201" s="20">
        <v>50</v>
      </c>
      <c r="D201" s="20">
        <v>-0.18</v>
      </c>
      <c r="E201" s="20">
        <v>0</v>
      </c>
      <c r="F201" s="20">
        <v>858.35</v>
      </c>
      <c r="Q201" s="20">
        <v>20</v>
      </c>
      <c r="R201" s="20">
        <v>50</v>
      </c>
      <c r="S201" s="20">
        <v>50.54</v>
      </c>
      <c r="T201" s="20">
        <v>-0.54</v>
      </c>
      <c r="U201" s="20">
        <v>0.02</v>
      </c>
      <c r="V201" s="20">
        <v>981.73</v>
      </c>
    </row>
    <row r="202" spans="1:22" ht="16.8" x14ac:dyDescent="0.3">
      <c r="A202" s="20">
        <v>20.2</v>
      </c>
      <c r="B202" s="20">
        <v>50.23</v>
      </c>
      <c r="C202" s="20">
        <v>50</v>
      </c>
      <c r="D202" s="20">
        <v>-0.23</v>
      </c>
      <c r="E202" s="20">
        <v>-0.06</v>
      </c>
      <c r="F202" s="20">
        <v>848.19</v>
      </c>
      <c r="Q202" s="20">
        <v>20.100000000000001</v>
      </c>
      <c r="R202" s="20">
        <v>50</v>
      </c>
      <c r="S202" s="20">
        <v>50.56</v>
      </c>
      <c r="T202" s="20">
        <v>-0.56000000000000005</v>
      </c>
      <c r="U202" s="20">
        <v>-0.01</v>
      </c>
      <c r="V202" s="20">
        <v>916.69</v>
      </c>
    </row>
    <row r="203" spans="1:22" ht="16.8" x14ac:dyDescent="0.3">
      <c r="A203" s="20">
        <v>20.3</v>
      </c>
      <c r="B203" s="20">
        <v>50.17</v>
      </c>
      <c r="C203" s="20">
        <v>50</v>
      </c>
      <c r="D203" s="20">
        <v>-0.17</v>
      </c>
      <c r="E203" s="20">
        <v>0.06</v>
      </c>
      <c r="F203" s="20">
        <v>859.4</v>
      </c>
      <c r="Q203" s="20">
        <v>20.2</v>
      </c>
      <c r="R203" s="20">
        <v>50</v>
      </c>
      <c r="S203" s="20">
        <v>50.49</v>
      </c>
      <c r="T203" s="20">
        <v>-0.49</v>
      </c>
      <c r="U203" s="20">
        <v>0.06</v>
      </c>
      <c r="V203" s="20">
        <v>1123.51</v>
      </c>
    </row>
    <row r="204" spans="1:22" ht="16.8" x14ac:dyDescent="0.3">
      <c r="A204" s="20">
        <v>20.399999999999999</v>
      </c>
      <c r="B204" s="20">
        <v>50.17</v>
      </c>
      <c r="C204" s="20">
        <v>50</v>
      </c>
      <c r="D204" s="20">
        <v>-0.17</v>
      </c>
      <c r="E204" s="20">
        <v>0</v>
      </c>
      <c r="F204" s="20">
        <v>858.54</v>
      </c>
      <c r="Q204" s="20">
        <v>20.3</v>
      </c>
      <c r="R204" s="20">
        <v>50</v>
      </c>
      <c r="S204" s="20">
        <v>50.54</v>
      </c>
      <c r="T204" s="20">
        <v>-0.54</v>
      </c>
      <c r="U204" s="20">
        <v>-0.05</v>
      </c>
      <c r="V204" s="20">
        <v>927.7</v>
      </c>
    </row>
    <row r="205" spans="1:22" ht="16.8" x14ac:dyDescent="0.3">
      <c r="A205" s="20">
        <v>20.5</v>
      </c>
      <c r="B205" s="20">
        <v>50.16</v>
      </c>
      <c r="C205" s="20">
        <v>50</v>
      </c>
      <c r="D205" s="20">
        <v>-0.16</v>
      </c>
      <c r="E205" s="20">
        <v>0.01</v>
      </c>
      <c r="F205" s="20">
        <v>859.52</v>
      </c>
      <c r="Q205" s="20">
        <v>20.399999999999999</v>
      </c>
      <c r="R205" s="20">
        <v>50</v>
      </c>
      <c r="S205" s="20">
        <v>50.52</v>
      </c>
      <c r="T205" s="20">
        <v>-0.52</v>
      </c>
      <c r="U205" s="20">
        <v>0.02</v>
      </c>
      <c r="V205" s="20">
        <v>1018.91</v>
      </c>
    </row>
    <row r="206" spans="1:22" ht="16.8" x14ac:dyDescent="0.3">
      <c r="A206" s="20">
        <v>20.6</v>
      </c>
      <c r="B206" s="20">
        <v>50.2</v>
      </c>
      <c r="C206" s="20">
        <v>50</v>
      </c>
      <c r="D206" s="20">
        <v>-0.2</v>
      </c>
      <c r="E206" s="20">
        <v>-0.04</v>
      </c>
      <c r="F206" s="20">
        <v>851.97</v>
      </c>
      <c r="Q206" s="20">
        <v>20.5</v>
      </c>
      <c r="R206" s="20">
        <v>50</v>
      </c>
      <c r="S206" s="20">
        <v>50.49</v>
      </c>
      <c r="T206" s="20">
        <v>-0.49</v>
      </c>
      <c r="U206" s="20">
        <v>0.02</v>
      </c>
      <c r="V206" s="20">
        <v>1015.07</v>
      </c>
    </row>
    <row r="207" spans="1:22" ht="16.8" x14ac:dyDescent="0.3">
      <c r="A207" s="20">
        <v>20.7</v>
      </c>
      <c r="B207" s="20">
        <v>50.12</v>
      </c>
      <c r="C207" s="20">
        <v>50</v>
      </c>
      <c r="D207" s="20">
        <v>-0.12</v>
      </c>
      <c r="E207" s="20">
        <v>0.08</v>
      </c>
      <c r="F207" s="20">
        <v>866.45</v>
      </c>
      <c r="Q207" s="20">
        <v>20.6</v>
      </c>
      <c r="R207" s="20">
        <v>50</v>
      </c>
      <c r="S207" s="20">
        <v>50.52</v>
      </c>
      <c r="T207" s="20">
        <v>-0.52</v>
      </c>
      <c r="U207" s="20">
        <v>-0.02</v>
      </c>
      <c r="V207" s="20">
        <v>940.22</v>
      </c>
    </row>
    <row r="208" spans="1:22" ht="16.8" x14ac:dyDescent="0.3">
      <c r="A208" s="20">
        <v>20.8</v>
      </c>
      <c r="B208" s="20">
        <v>50.14</v>
      </c>
      <c r="C208" s="20">
        <v>50</v>
      </c>
      <c r="D208" s="20">
        <v>-0.14000000000000001</v>
      </c>
      <c r="E208" s="20">
        <v>-0.02</v>
      </c>
      <c r="F208" s="20">
        <v>860.36</v>
      </c>
      <c r="Q208" s="20">
        <v>20.7</v>
      </c>
      <c r="R208" s="20">
        <v>50</v>
      </c>
      <c r="S208" s="20">
        <v>50.49</v>
      </c>
      <c r="T208" s="20">
        <v>-0.49</v>
      </c>
      <c r="U208" s="20">
        <v>0.03</v>
      </c>
      <c r="V208" s="20">
        <v>1038.51</v>
      </c>
    </row>
    <row r="209" spans="1:22" ht="16.8" x14ac:dyDescent="0.3">
      <c r="A209" s="20">
        <v>20.9</v>
      </c>
      <c r="B209" s="20">
        <v>50.16</v>
      </c>
      <c r="C209" s="20">
        <v>50</v>
      </c>
      <c r="D209" s="20">
        <v>-0.16</v>
      </c>
      <c r="E209" s="20">
        <v>-0.02</v>
      </c>
      <c r="F209" s="20">
        <v>857.72</v>
      </c>
      <c r="Q209" s="20">
        <v>20.8</v>
      </c>
      <c r="R209" s="20">
        <v>50</v>
      </c>
      <c r="S209" s="20">
        <v>50.5</v>
      </c>
      <c r="T209" s="20">
        <v>-0.5</v>
      </c>
      <c r="U209" s="20">
        <v>-0.01</v>
      </c>
      <c r="V209" s="20">
        <v>951.43</v>
      </c>
    </row>
    <row r="210" spans="1:22" ht="16.8" x14ac:dyDescent="0.3">
      <c r="A210" s="20">
        <v>21</v>
      </c>
      <c r="B210" s="20">
        <v>50.13</v>
      </c>
      <c r="C210" s="20">
        <v>50</v>
      </c>
      <c r="D210" s="20">
        <v>-0.13</v>
      </c>
      <c r="E210" s="20">
        <v>0.03</v>
      </c>
      <c r="F210" s="20">
        <v>863.34</v>
      </c>
      <c r="Q210" s="20">
        <v>20.9</v>
      </c>
      <c r="R210" s="20">
        <v>50</v>
      </c>
      <c r="S210" s="20">
        <v>50.47</v>
      </c>
      <c r="T210" s="20">
        <v>-0.47</v>
      </c>
      <c r="U210" s="20">
        <v>0.03</v>
      </c>
      <c r="V210" s="20">
        <v>1056.06</v>
      </c>
    </row>
    <row r="211" spans="1:22" ht="16.8" x14ac:dyDescent="0.3">
      <c r="A211" s="20">
        <v>21.1</v>
      </c>
      <c r="B211" s="20">
        <v>50.15</v>
      </c>
      <c r="C211" s="20">
        <v>50</v>
      </c>
      <c r="D211" s="20">
        <v>-0.15</v>
      </c>
      <c r="E211" s="20">
        <v>-0.02</v>
      </c>
      <c r="F211" s="20">
        <v>858.2</v>
      </c>
      <c r="Q211" s="20">
        <v>21</v>
      </c>
      <c r="R211" s="20">
        <v>50</v>
      </c>
      <c r="S211" s="20">
        <v>50.49</v>
      </c>
      <c r="T211" s="20">
        <v>-0.49</v>
      </c>
      <c r="U211" s="20">
        <v>-0.03</v>
      </c>
      <c r="V211" s="20">
        <v>953.56</v>
      </c>
    </row>
    <row r="212" spans="1:22" ht="16.8" x14ac:dyDescent="0.3">
      <c r="A212" s="20">
        <v>21.2</v>
      </c>
      <c r="B212" s="20">
        <v>50.13</v>
      </c>
      <c r="C212" s="20">
        <v>50</v>
      </c>
      <c r="D212" s="20">
        <v>-0.13</v>
      </c>
      <c r="E212" s="20">
        <v>0.02</v>
      </c>
      <c r="F212" s="20">
        <v>862.59</v>
      </c>
      <c r="Q212" s="20">
        <v>21.1</v>
      </c>
      <c r="R212" s="20">
        <v>50</v>
      </c>
      <c r="S212" s="20">
        <v>50.43</v>
      </c>
      <c r="T212" s="20">
        <v>-0.43</v>
      </c>
      <c r="U212" s="20">
        <v>7.0000000000000007E-2</v>
      </c>
      <c r="V212" s="20">
        <v>1140.8499999999999</v>
      </c>
    </row>
    <row r="213" spans="1:22" ht="16.8" x14ac:dyDescent="0.3">
      <c r="A213" s="20">
        <v>21.3</v>
      </c>
      <c r="B213" s="20">
        <v>50.14</v>
      </c>
      <c r="C213" s="20">
        <v>50</v>
      </c>
      <c r="D213" s="20">
        <v>-0.14000000000000001</v>
      </c>
      <c r="E213" s="20">
        <v>-0.01</v>
      </c>
      <c r="F213" s="20">
        <v>860.43</v>
      </c>
      <c r="Q213" s="20">
        <v>21.2</v>
      </c>
      <c r="R213" s="20">
        <v>50</v>
      </c>
      <c r="S213" s="20">
        <v>50.43</v>
      </c>
      <c r="T213" s="20">
        <v>-0.43</v>
      </c>
      <c r="U213" s="20">
        <v>-0.01</v>
      </c>
      <c r="V213" s="20">
        <v>981.28</v>
      </c>
    </row>
    <row r="214" spans="1:22" ht="16.8" x14ac:dyDescent="0.3">
      <c r="A214" s="20">
        <v>21.4</v>
      </c>
      <c r="B214" s="20">
        <v>50.11</v>
      </c>
      <c r="C214" s="20">
        <v>50</v>
      </c>
      <c r="D214" s="20">
        <v>-0.11</v>
      </c>
      <c r="E214" s="20">
        <v>0.03</v>
      </c>
      <c r="F214" s="20">
        <v>865.24</v>
      </c>
      <c r="Q214" s="20">
        <v>21.3</v>
      </c>
      <c r="R214" s="20">
        <v>50</v>
      </c>
      <c r="S214" s="20">
        <v>50.45</v>
      </c>
      <c r="T214" s="20">
        <v>-0.45</v>
      </c>
      <c r="U214" s="20">
        <v>-0.01</v>
      </c>
      <c r="V214" s="20">
        <v>976.27</v>
      </c>
    </row>
    <row r="215" spans="1:22" ht="16.8" x14ac:dyDescent="0.3">
      <c r="A215" s="20">
        <v>21.5</v>
      </c>
      <c r="B215" s="20">
        <v>50.12</v>
      </c>
      <c r="C215" s="20">
        <v>50</v>
      </c>
      <c r="D215" s="20">
        <v>-0.12</v>
      </c>
      <c r="E215" s="20">
        <v>-0.01</v>
      </c>
      <c r="F215" s="20">
        <v>863.04</v>
      </c>
      <c r="Q215" s="20">
        <v>21.4</v>
      </c>
      <c r="R215" s="20">
        <v>50</v>
      </c>
      <c r="S215" s="20">
        <v>50.45</v>
      </c>
      <c r="T215" s="20">
        <v>-0.45</v>
      </c>
      <c r="U215" s="20">
        <v>-0.01</v>
      </c>
      <c r="V215" s="20">
        <v>972.78</v>
      </c>
    </row>
    <row r="216" spans="1:22" ht="16.8" x14ac:dyDescent="0.3">
      <c r="A216" s="20">
        <v>21.6</v>
      </c>
      <c r="B216" s="20">
        <v>50.14</v>
      </c>
      <c r="C216" s="20">
        <v>50</v>
      </c>
      <c r="D216" s="20">
        <v>-0.14000000000000001</v>
      </c>
      <c r="E216" s="20">
        <v>-0.02</v>
      </c>
      <c r="F216" s="20">
        <v>859.43</v>
      </c>
      <c r="Q216" s="20">
        <v>21.5</v>
      </c>
      <c r="R216" s="20">
        <v>50</v>
      </c>
      <c r="S216" s="20">
        <v>50.48</v>
      </c>
      <c r="T216" s="20">
        <v>-0.48</v>
      </c>
      <c r="U216" s="20">
        <v>-0.02</v>
      </c>
      <c r="V216" s="20">
        <v>961.68</v>
      </c>
    </row>
    <row r="217" spans="1:22" ht="16.8" x14ac:dyDescent="0.3">
      <c r="A217" s="20">
        <v>21.7</v>
      </c>
      <c r="B217" s="20">
        <v>50.1</v>
      </c>
      <c r="C217" s="20">
        <v>50</v>
      </c>
      <c r="D217" s="20">
        <v>-0.1</v>
      </c>
      <c r="E217" s="20">
        <v>0.03</v>
      </c>
      <c r="F217" s="20">
        <v>865.19</v>
      </c>
      <c r="Q217" s="20">
        <v>21.6</v>
      </c>
      <c r="R217" s="20">
        <v>50</v>
      </c>
      <c r="S217" s="20">
        <v>50.49</v>
      </c>
      <c r="T217" s="20">
        <v>-0.49</v>
      </c>
      <c r="U217" s="20">
        <v>-0.01</v>
      </c>
      <c r="V217" s="20">
        <v>957.7</v>
      </c>
    </row>
    <row r="218" spans="1:22" ht="16.8" x14ac:dyDescent="0.3">
      <c r="A218" s="20">
        <v>21.8</v>
      </c>
      <c r="B218" s="20">
        <v>50.13</v>
      </c>
      <c r="C218" s="20">
        <v>50</v>
      </c>
      <c r="D218" s="20">
        <v>-0.13</v>
      </c>
      <c r="E218" s="20">
        <v>-0.03</v>
      </c>
      <c r="F218" s="20">
        <v>859.39</v>
      </c>
      <c r="Q218" s="20">
        <v>21.7</v>
      </c>
      <c r="R218" s="20">
        <v>50</v>
      </c>
      <c r="S218" s="20">
        <v>50.45</v>
      </c>
      <c r="T218" s="20">
        <v>-0.45</v>
      </c>
      <c r="U218" s="20">
        <v>0.04</v>
      </c>
      <c r="V218" s="20">
        <v>1080.0899999999999</v>
      </c>
    </row>
    <row r="219" spans="1:22" ht="16.8" x14ac:dyDescent="0.3">
      <c r="A219" s="20">
        <v>21.9</v>
      </c>
      <c r="B219" s="20">
        <v>50.11</v>
      </c>
      <c r="C219" s="20">
        <v>50</v>
      </c>
      <c r="D219" s="20">
        <v>-0.11</v>
      </c>
      <c r="E219" s="20">
        <v>0.02</v>
      </c>
      <c r="F219" s="20">
        <v>863.91</v>
      </c>
      <c r="Q219" s="20">
        <v>21.8</v>
      </c>
      <c r="R219" s="20">
        <v>50</v>
      </c>
      <c r="S219" s="20">
        <v>50.45</v>
      </c>
      <c r="T219" s="20">
        <v>-0.45</v>
      </c>
      <c r="U219" s="20">
        <v>0</v>
      </c>
      <c r="V219" s="20">
        <v>974.54</v>
      </c>
    </row>
    <row r="220" spans="1:22" ht="16.8" x14ac:dyDescent="0.3">
      <c r="A220" s="20">
        <v>22</v>
      </c>
      <c r="B220" s="20">
        <v>50.16</v>
      </c>
      <c r="C220" s="20">
        <v>50</v>
      </c>
      <c r="D220" s="20">
        <v>-0.16</v>
      </c>
      <c r="E220" s="20">
        <v>-0.05</v>
      </c>
      <c r="F220" s="20">
        <v>854.03</v>
      </c>
      <c r="Q220" s="20">
        <v>21.9</v>
      </c>
      <c r="R220" s="20">
        <v>50</v>
      </c>
      <c r="S220" s="20">
        <v>50.44</v>
      </c>
      <c r="T220" s="20">
        <v>-0.44</v>
      </c>
      <c r="U220" s="20">
        <v>0.01</v>
      </c>
      <c r="V220" s="20">
        <v>1000.89</v>
      </c>
    </row>
    <row r="221" spans="1:22" ht="16.8" x14ac:dyDescent="0.3">
      <c r="A221" s="20">
        <v>22.1</v>
      </c>
      <c r="B221" s="20">
        <v>50.1</v>
      </c>
      <c r="C221" s="20">
        <v>50</v>
      </c>
      <c r="D221" s="20">
        <v>-0.1</v>
      </c>
      <c r="E221" s="20">
        <v>0.06</v>
      </c>
      <c r="F221" s="20">
        <v>866.02</v>
      </c>
      <c r="Q221" s="20">
        <v>22</v>
      </c>
      <c r="R221" s="20">
        <v>50</v>
      </c>
      <c r="S221" s="20">
        <v>50.44</v>
      </c>
      <c r="T221" s="20">
        <v>-0.44</v>
      </c>
      <c r="U221" s="20">
        <v>0</v>
      </c>
      <c r="V221" s="20">
        <v>977.96</v>
      </c>
    </row>
    <row r="222" spans="1:22" ht="16.8" x14ac:dyDescent="0.3">
      <c r="A222" s="20">
        <v>22.2</v>
      </c>
      <c r="B222" s="20">
        <v>50.09</v>
      </c>
      <c r="C222" s="20">
        <v>50</v>
      </c>
      <c r="D222" s="20">
        <v>-0.09</v>
      </c>
      <c r="E222" s="20">
        <v>0.01</v>
      </c>
      <c r="F222" s="20">
        <v>865.94</v>
      </c>
      <c r="Q222" s="25">
        <v>22.1</v>
      </c>
      <c r="R222" s="20">
        <v>50</v>
      </c>
      <c r="S222" s="20">
        <v>50.44</v>
      </c>
      <c r="T222" s="20">
        <v>-0.43</v>
      </c>
      <c r="U222" s="20">
        <v>0.02</v>
      </c>
      <c r="V222" s="20">
        <v>1027.81</v>
      </c>
    </row>
    <row r="223" spans="1:22" ht="16.8" x14ac:dyDescent="0.3">
      <c r="A223" s="20">
        <v>22.3</v>
      </c>
      <c r="B223" s="20">
        <v>50.12</v>
      </c>
      <c r="C223" s="20">
        <v>50</v>
      </c>
      <c r="D223" s="20">
        <v>-0.12</v>
      </c>
      <c r="E223" s="20">
        <v>-0.03</v>
      </c>
      <c r="F223" s="20">
        <v>859.96</v>
      </c>
      <c r="Q223" s="25">
        <v>22.2</v>
      </c>
      <c r="R223" s="20">
        <v>50</v>
      </c>
      <c r="S223" s="20">
        <v>50.4</v>
      </c>
      <c r="T223" s="20">
        <v>-0.4</v>
      </c>
      <c r="U223" s="20">
        <v>0.03</v>
      </c>
      <c r="V223" s="20">
        <v>1064.5899999999999</v>
      </c>
    </row>
    <row r="224" spans="1:22" ht="16.8" x14ac:dyDescent="0.3">
      <c r="A224" s="20">
        <v>22.4</v>
      </c>
      <c r="B224" s="20">
        <v>50.08</v>
      </c>
      <c r="C224" s="20">
        <v>50</v>
      </c>
      <c r="D224" s="20">
        <v>-0.08</v>
      </c>
      <c r="E224" s="20">
        <v>0.04</v>
      </c>
      <c r="F224" s="20">
        <v>868.11</v>
      </c>
      <c r="Q224" s="20">
        <v>22.3</v>
      </c>
      <c r="R224" s="20">
        <v>50</v>
      </c>
      <c r="S224" s="20">
        <v>50.43</v>
      </c>
      <c r="T224" s="20">
        <v>-0.43</v>
      </c>
      <c r="U224" s="20">
        <v>-0.04</v>
      </c>
      <c r="V224" s="20">
        <v>981.28</v>
      </c>
    </row>
    <row r="225" spans="1:22" ht="16.8" x14ac:dyDescent="0.3">
      <c r="A225" s="20">
        <v>22.5</v>
      </c>
      <c r="B225" s="20">
        <v>50.14</v>
      </c>
      <c r="C225" s="20">
        <v>50</v>
      </c>
      <c r="D225" s="20">
        <v>-0.14000000000000001</v>
      </c>
      <c r="E225" s="20">
        <v>-0.06</v>
      </c>
      <c r="F225" s="20">
        <v>856.48</v>
      </c>
      <c r="Q225" s="25">
        <v>22.4</v>
      </c>
      <c r="R225" s="20">
        <v>50</v>
      </c>
      <c r="S225" s="20">
        <v>50.45</v>
      </c>
      <c r="T225" s="20">
        <v>-0.45</v>
      </c>
      <c r="U225" s="20">
        <v>-0.01</v>
      </c>
      <c r="V225" s="20">
        <v>976.27</v>
      </c>
    </row>
    <row r="226" spans="1:22" ht="16.8" x14ac:dyDescent="0.3">
      <c r="A226" s="20">
        <v>22.6</v>
      </c>
      <c r="B226" s="20">
        <v>50.1</v>
      </c>
      <c r="C226" s="20">
        <v>50</v>
      </c>
      <c r="D226" s="20">
        <v>-0.1</v>
      </c>
      <c r="E226" s="20">
        <v>0.03</v>
      </c>
      <c r="F226" s="20">
        <v>863.05</v>
      </c>
      <c r="Q226" s="25">
        <v>22.5</v>
      </c>
      <c r="R226" s="20">
        <v>50</v>
      </c>
      <c r="S226" s="20">
        <v>50.44</v>
      </c>
      <c r="T226" s="20">
        <v>-0.44</v>
      </c>
      <c r="U226" s="20">
        <v>0</v>
      </c>
      <c r="V226" s="20">
        <v>989.56</v>
      </c>
    </row>
    <row r="227" spans="1:22" ht="16.8" x14ac:dyDescent="0.3">
      <c r="A227" s="20">
        <v>22.7</v>
      </c>
      <c r="B227" s="20">
        <v>50.08</v>
      </c>
      <c r="C227" s="20">
        <v>50</v>
      </c>
      <c r="D227" s="20">
        <v>-0.08</v>
      </c>
      <c r="E227" s="20">
        <v>0.02</v>
      </c>
      <c r="F227" s="20">
        <v>866.41</v>
      </c>
      <c r="Q227" s="20">
        <v>22.6</v>
      </c>
      <c r="R227" s="20">
        <v>50</v>
      </c>
      <c r="S227" s="20">
        <v>50.43</v>
      </c>
      <c r="T227" s="20">
        <v>-0.43</v>
      </c>
      <c r="U227" s="20">
        <v>0.01</v>
      </c>
      <c r="V227" s="20">
        <v>1003.85</v>
      </c>
    </row>
    <row r="228" spans="1:22" ht="16.8" x14ac:dyDescent="0.3">
      <c r="A228" s="20">
        <v>22.8</v>
      </c>
      <c r="B228" s="20">
        <v>50.09</v>
      </c>
      <c r="C228" s="20">
        <v>50</v>
      </c>
      <c r="D228" s="20">
        <v>-0.09</v>
      </c>
      <c r="E228" s="20">
        <v>-0.01</v>
      </c>
      <c r="F228" s="20">
        <v>864.35</v>
      </c>
      <c r="Q228" s="25">
        <v>22.7</v>
      </c>
      <c r="R228" s="20">
        <v>50</v>
      </c>
      <c r="S228" s="20">
        <v>50.47</v>
      </c>
      <c r="T228" s="20">
        <v>-0.47</v>
      </c>
      <c r="U228" s="20">
        <v>-0.04</v>
      </c>
      <c r="V228" s="20">
        <v>965.51</v>
      </c>
    </row>
    <row r="229" spans="1:22" ht="16.8" x14ac:dyDescent="0.3">
      <c r="A229" s="20">
        <v>22.9</v>
      </c>
      <c r="B229" s="20">
        <v>50.13</v>
      </c>
      <c r="C229" s="20">
        <v>50</v>
      </c>
      <c r="D229" s="20">
        <v>-0.13</v>
      </c>
      <c r="E229" s="20">
        <v>-0.04</v>
      </c>
      <c r="F229" s="20">
        <v>856.57</v>
      </c>
      <c r="Q229" s="20">
        <v>22.8</v>
      </c>
      <c r="R229" s="20">
        <v>50</v>
      </c>
      <c r="S229" s="20">
        <v>50.47</v>
      </c>
      <c r="T229" s="20">
        <v>-0.47</v>
      </c>
      <c r="U229" s="20">
        <v>0</v>
      </c>
      <c r="V229" s="20">
        <v>963.6</v>
      </c>
    </row>
    <row r="230" spans="1:22" ht="16.8" x14ac:dyDescent="0.3">
      <c r="A230" s="20">
        <v>23</v>
      </c>
      <c r="B230" s="20">
        <v>50.08</v>
      </c>
      <c r="C230" s="20">
        <v>50</v>
      </c>
      <c r="D230" s="20">
        <v>-0.08</v>
      </c>
      <c r="E230" s="20">
        <v>0.05</v>
      </c>
      <c r="F230" s="20">
        <v>865.64</v>
      </c>
      <c r="Q230" s="25">
        <v>22.9</v>
      </c>
      <c r="R230" s="20">
        <v>50</v>
      </c>
      <c r="S230" s="20">
        <v>50.44</v>
      </c>
      <c r="T230" s="20">
        <v>-0.44</v>
      </c>
      <c r="U230" s="20">
        <v>0.04</v>
      </c>
      <c r="V230" s="20">
        <v>1072.93</v>
      </c>
    </row>
    <row r="231" spans="1:22" ht="16.8" x14ac:dyDescent="0.3">
      <c r="A231" s="20">
        <v>23.1</v>
      </c>
      <c r="B231" s="20">
        <v>50.09</v>
      </c>
      <c r="C231" s="20">
        <v>50</v>
      </c>
      <c r="D231" s="20">
        <v>-0.09</v>
      </c>
      <c r="E231" s="20">
        <v>-0.01</v>
      </c>
      <c r="F231" s="20">
        <v>863.09</v>
      </c>
      <c r="Q231" s="25">
        <v>23</v>
      </c>
      <c r="R231" s="20">
        <v>50</v>
      </c>
      <c r="S231" s="20">
        <v>50.44</v>
      </c>
      <c r="T231" s="20">
        <v>-0.44</v>
      </c>
      <c r="U231" s="20">
        <v>0</v>
      </c>
      <c r="V231" s="20">
        <v>979.64</v>
      </c>
    </row>
    <row r="232" spans="1:22" ht="16.8" x14ac:dyDescent="0.3">
      <c r="A232" s="20">
        <v>23.2</v>
      </c>
      <c r="B232" s="20">
        <v>50.1</v>
      </c>
      <c r="C232" s="20">
        <v>50</v>
      </c>
      <c r="D232" s="20">
        <v>-0.1</v>
      </c>
      <c r="E232" s="20">
        <v>-0.01</v>
      </c>
      <c r="F232" s="20">
        <v>861.65</v>
      </c>
      <c r="Q232" s="20">
        <v>23.1</v>
      </c>
      <c r="R232" s="20">
        <v>50</v>
      </c>
      <c r="S232" s="20">
        <v>50.47</v>
      </c>
      <c r="T232" s="20">
        <v>-0.47</v>
      </c>
      <c r="U232" s="20">
        <v>-0.03</v>
      </c>
      <c r="V232" s="20">
        <v>965.51</v>
      </c>
    </row>
    <row r="233" spans="1:22" ht="16.8" x14ac:dyDescent="0.3">
      <c r="A233" s="20">
        <v>23.3</v>
      </c>
      <c r="B233" s="20">
        <v>50.08</v>
      </c>
      <c r="C233" s="20">
        <v>50</v>
      </c>
      <c r="D233" s="20">
        <v>-0.08</v>
      </c>
      <c r="E233" s="20">
        <v>0.02</v>
      </c>
      <c r="F233" s="20">
        <v>865.12</v>
      </c>
      <c r="Q233" s="25">
        <v>23.2</v>
      </c>
      <c r="R233" s="20">
        <v>50</v>
      </c>
      <c r="S233" s="20">
        <v>50.46</v>
      </c>
      <c r="T233" s="20">
        <v>-0.46</v>
      </c>
      <c r="U233" s="20">
        <v>0.01</v>
      </c>
      <c r="V233" s="20">
        <v>1006.04</v>
      </c>
    </row>
    <row r="234" spans="1:22" ht="16.8" x14ac:dyDescent="0.3">
      <c r="A234" s="20">
        <v>23.4</v>
      </c>
      <c r="B234" s="20">
        <v>50.06</v>
      </c>
      <c r="C234" s="20">
        <v>50</v>
      </c>
      <c r="D234" s="20">
        <v>-0.06</v>
      </c>
      <c r="E234" s="20">
        <v>0.02</v>
      </c>
      <c r="F234" s="20">
        <v>867.37</v>
      </c>
      <c r="Q234" s="20">
        <v>23.3</v>
      </c>
      <c r="R234" s="20">
        <v>50</v>
      </c>
      <c r="S234" s="20">
        <v>50.43</v>
      </c>
      <c r="T234" s="20">
        <v>-0.43</v>
      </c>
      <c r="U234" s="20">
        <v>0.03</v>
      </c>
      <c r="V234" s="20">
        <v>1056.28</v>
      </c>
    </row>
    <row r="235" spans="1:22" ht="16.8" x14ac:dyDescent="0.3">
      <c r="A235" s="20">
        <v>23.5</v>
      </c>
      <c r="B235" s="20">
        <v>50.06</v>
      </c>
      <c r="C235" s="20">
        <v>50</v>
      </c>
      <c r="D235" s="20">
        <v>-0.06</v>
      </c>
      <c r="E235" s="20">
        <v>0</v>
      </c>
      <c r="F235" s="20">
        <v>867.62</v>
      </c>
      <c r="Q235" s="25">
        <v>23.4</v>
      </c>
      <c r="R235" s="20">
        <v>50</v>
      </c>
      <c r="S235" s="20">
        <v>50.45</v>
      </c>
      <c r="T235" s="20">
        <v>-0.45</v>
      </c>
      <c r="U235" s="20">
        <v>-0.02</v>
      </c>
      <c r="V235" s="20">
        <v>972.78</v>
      </c>
    </row>
    <row r="236" spans="1:22" ht="16.8" x14ac:dyDescent="0.3">
      <c r="A236" s="20">
        <v>23.6</v>
      </c>
      <c r="B236" s="20">
        <v>50.07</v>
      </c>
      <c r="C236" s="20">
        <v>50</v>
      </c>
      <c r="D236" s="20">
        <v>-7.0000000000000007E-2</v>
      </c>
      <c r="E236" s="20">
        <v>-0.01</v>
      </c>
      <c r="F236" s="20">
        <v>866.01</v>
      </c>
      <c r="Q236" s="25">
        <v>23.5</v>
      </c>
      <c r="R236" s="20">
        <v>50</v>
      </c>
      <c r="S236" s="20">
        <v>50.42</v>
      </c>
      <c r="T236" s="20">
        <v>-0.42</v>
      </c>
      <c r="U236" s="20">
        <v>0.03</v>
      </c>
      <c r="V236" s="20">
        <v>1067.69</v>
      </c>
    </row>
    <row r="237" spans="1:22" ht="16.8" x14ac:dyDescent="0.3">
      <c r="A237" s="20">
        <v>23.7</v>
      </c>
      <c r="B237" s="20">
        <v>50.08</v>
      </c>
      <c r="C237" s="20">
        <v>50</v>
      </c>
      <c r="D237" s="20">
        <v>-0.08</v>
      </c>
      <c r="E237" s="20">
        <v>-0.01</v>
      </c>
      <c r="F237" s="20">
        <v>864.62</v>
      </c>
      <c r="Q237" s="20">
        <v>23.6</v>
      </c>
      <c r="R237" s="20">
        <v>50</v>
      </c>
      <c r="S237" s="20">
        <v>50.42</v>
      </c>
      <c r="T237" s="20">
        <v>-0.42</v>
      </c>
      <c r="U237" s="20">
        <v>0</v>
      </c>
      <c r="V237" s="20">
        <v>986.05</v>
      </c>
    </row>
    <row r="238" spans="1:22" ht="16.8" x14ac:dyDescent="0.3">
      <c r="A238" s="20">
        <v>23.8</v>
      </c>
      <c r="B238" s="20">
        <v>50.07</v>
      </c>
      <c r="C238" s="20">
        <v>50</v>
      </c>
      <c r="D238" s="20">
        <v>-7.0000000000000007E-2</v>
      </c>
      <c r="E238" s="20">
        <v>0</v>
      </c>
      <c r="F238" s="20">
        <v>865.32</v>
      </c>
      <c r="Q238" s="25">
        <v>23.7</v>
      </c>
      <c r="R238" s="20">
        <v>50</v>
      </c>
      <c r="S238" s="20">
        <v>50.42</v>
      </c>
      <c r="T238" s="20">
        <v>-0.42</v>
      </c>
      <c r="U238" s="20">
        <v>0</v>
      </c>
      <c r="V238" s="20">
        <v>986.05</v>
      </c>
    </row>
    <row r="239" spans="1:22" ht="16.8" x14ac:dyDescent="0.3">
      <c r="A239" s="20">
        <v>23.9</v>
      </c>
      <c r="B239" s="20">
        <v>50.04</v>
      </c>
      <c r="C239" s="20">
        <v>50</v>
      </c>
      <c r="D239" s="20">
        <v>-0.04</v>
      </c>
      <c r="E239" s="20">
        <v>0.04</v>
      </c>
      <c r="F239" s="20">
        <v>871.44</v>
      </c>
      <c r="Q239" s="20">
        <v>23.8</v>
      </c>
      <c r="R239" s="20">
        <v>50</v>
      </c>
      <c r="S239" s="20">
        <v>50.44</v>
      </c>
      <c r="T239" s="20">
        <v>-0.44</v>
      </c>
      <c r="U239" s="20">
        <v>-0.02</v>
      </c>
      <c r="V239" s="20">
        <v>977.96</v>
      </c>
    </row>
    <row r="240" spans="1:22" ht="16.8" x14ac:dyDescent="0.3">
      <c r="A240" s="20">
        <v>24</v>
      </c>
      <c r="B240" s="20">
        <v>50.05</v>
      </c>
      <c r="C240" s="20">
        <v>50</v>
      </c>
      <c r="D240" s="20">
        <v>-0.05</v>
      </c>
      <c r="E240" s="20">
        <v>-0.02</v>
      </c>
      <c r="F240" s="20">
        <v>867.82</v>
      </c>
      <c r="Q240" s="25">
        <v>23.9</v>
      </c>
      <c r="R240" s="20">
        <v>50</v>
      </c>
      <c r="S240" s="20">
        <v>50.42</v>
      </c>
      <c r="T240" s="20">
        <v>-0.42</v>
      </c>
      <c r="U240" s="20">
        <v>0.02</v>
      </c>
      <c r="V240" s="20">
        <v>1050</v>
      </c>
    </row>
    <row r="241" spans="1:22" ht="16.8" x14ac:dyDescent="0.3">
      <c r="A241" s="20">
        <v>24.1</v>
      </c>
      <c r="B241" s="20">
        <v>50.06</v>
      </c>
      <c r="C241" s="20">
        <v>50</v>
      </c>
      <c r="D241" s="20">
        <v>-0.06</v>
      </c>
      <c r="E241" s="20">
        <v>-0.01</v>
      </c>
      <c r="F241" s="20">
        <v>865.92</v>
      </c>
      <c r="Q241" s="20">
        <v>24</v>
      </c>
      <c r="R241" s="20">
        <v>50</v>
      </c>
      <c r="S241" s="20">
        <v>50.47</v>
      </c>
      <c r="T241" s="20">
        <v>-0.47</v>
      </c>
      <c r="U241" s="20">
        <v>-0.05</v>
      </c>
      <c r="V241" s="20">
        <v>965.51</v>
      </c>
    </row>
    <row r="242" spans="1:22" ht="16.8" x14ac:dyDescent="0.3">
      <c r="A242" s="20">
        <v>24.2</v>
      </c>
      <c r="B242" s="20">
        <v>50.05</v>
      </c>
      <c r="C242" s="20">
        <v>50</v>
      </c>
      <c r="D242" s="20">
        <v>-0.05</v>
      </c>
      <c r="E242" s="20">
        <v>0.01</v>
      </c>
      <c r="F242" s="20">
        <v>868.14</v>
      </c>
      <c r="Q242" s="25">
        <v>24.1</v>
      </c>
      <c r="R242" s="20">
        <v>50</v>
      </c>
      <c r="S242" s="20">
        <v>50.46</v>
      </c>
      <c r="T242" s="20">
        <v>-0.46</v>
      </c>
      <c r="U242" s="20">
        <v>0.01</v>
      </c>
      <c r="V242" s="20">
        <v>993.08</v>
      </c>
    </row>
    <row r="243" spans="1:22" ht="16.8" x14ac:dyDescent="0.3">
      <c r="A243" s="20">
        <v>24.3</v>
      </c>
      <c r="B243" s="20">
        <v>50.06</v>
      </c>
      <c r="C243" s="20">
        <v>50</v>
      </c>
      <c r="D243" s="20">
        <v>-0.06</v>
      </c>
      <c r="E243" s="20">
        <v>-0.01</v>
      </c>
      <c r="F243" s="20">
        <v>865.67</v>
      </c>
      <c r="Q243" s="25">
        <v>24.2</v>
      </c>
      <c r="R243" s="20">
        <v>50</v>
      </c>
      <c r="S243" s="20">
        <v>50.41</v>
      </c>
      <c r="T243" s="20">
        <v>-0.41</v>
      </c>
      <c r="U243" s="20">
        <v>0.05</v>
      </c>
      <c r="V243" s="20">
        <v>1112.8900000000001</v>
      </c>
    </row>
    <row r="244" spans="1:22" ht="16.8" x14ac:dyDescent="0.3">
      <c r="A244" s="20">
        <v>24.4</v>
      </c>
      <c r="B244" s="20">
        <v>50</v>
      </c>
      <c r="C244" s="20">
        <v>50</v>
      </c>
      <c r="D244" s="20">
        <v>0</v>
      </c>
      <c r="E244" s="20">
        <v>0.06</v>
      </c>
      <c r="F244" s="20">
        <v>877.06</v>
      </c>
      <c r="Q244" s="20">
        <v>24.3</v>
      </c>
      <c r="R244" s="20">
        <v>50</v>
      </c>
      <c r="S244" s="20">
        <v>50.46</v>
      </c>
      <c r="T244" s="20">
        <v>-0.46</v>
      </c>
      <c r="U244" s="20">
        <v>-0.05</v>
      </c>
      <c r="V244" s="20">
        <v>970.99</v>
      </c>
    </row>
    <row r="245" spans="1:22" ht="16.8" x14ac:dyDescent="0.3">
      <c r="A245" s="20">
        <v>24.5</v>
      </c>
      <c r="B245" s="20">
        <v>50.03</v>
      </c>
      <c r="C245" s="20">
        <v>50</v>
      </c>
      <c r="D245" s="20">
        <v>-0.03</v>
      </c>
      <c r="E245" s="20">
        <v>-0.03</v>
      </c>
      <c r="F245" s="20">
        <v>870.84</v>
      </c>
      <c r="Q245" s="25">
        <v>24.4</v>
      </c>
      <c r="R245" s="20">
        <v>50</v>
      </c>
      <c r="S245" s="20">
        <v>50.46</v>
      </c>
      <c r="T245" s="20">
        <v>-0.46</v>
      </c>
      <c r="U245" s="20">
        <v>0</v>
      </c>
      <c r="V245" s="20">
        <v>969.19</v>
      </c>
    </row>
    <row r="246" spans="1:22" ht="16.8" x14ac:dyDescent="0.3">
      <c r="A246" s="20">
        <v>24.6</v>
      </c>
      <c r="B246" s="20">
        <v>50.04</v>
      </c>
      <c r="C246" s="20">
        <v>50</v>
      </c>
      <c r="D246" s="20">
        <v>-0.04</v>
      </c>
      <c r="E246" s="20">
        <v>-0.01</v>
      </c>
      <c r="F246" s="20">
        <v>869.94</v>
      </c>
      <c r="Q246" s="20">
        <v>24.5</v>
      </c>
      <c r="R246" s="20">
        <v>50</v>
      </c>
      <c r="S246" s="20">
        <v>50.47</v>
      </c>
      <c r="T246" s="20">
        <v>-0.47</v>
      </c>
      <c r="U246" s="20">
        <v>-0.01</v>
      </c>
      <c r="V246" s="20">
        <v>965.51</v>
      </c>
    </row>
    <row r="247" spans="1:22" ht="16.8" x14ac:dyDescent="0.3">
      <c r="A247" s="20">
        <v>24.7</v>
      </c>
      <c r="B247" s="20">
        <v>50</v>
      </c>
      <c r="C247" s="20">
        <v>50</v>
      </c>
      <c r="D247" s="20">
        <v>0</v>
      </c>
      <c r="E247" s="20">
        <v>0.04</v>
      </c>
      <c r="F247" s="20">
        <v>877.07</v>
      </c>
      <c r="Q247" s="25">
        <v>24.6</v>
      </c>
      <c r="R247" s="20">
        <v>50</v>
      </c>
      <c r="S247" s="20">
        <v>50.44</v>
      </c>
      <c r="T247" s="20">
        <v>-0.44</v>
      </c>
      <c r="U247" s="20">
        <v>0.03</v>
      </c>
      <c r="V247" s="20">
        <v>1052.97</v>
      </c>
    </row>
    <row r="248" spans="1:22" ht="16.8" x14ac:dyDescent="0.3">
      <c r="A248" s="20">
        <v>24.8</v>
      </c>
      <c r="B248" s="20">
        <v>49.98</v>
      </c>
      <c r="C248" s="20">
        <v>50</v>
      </c>
      <c r="D248" s="20">
        <v>0.02</v>
      </c>
      <c r="E248" s="20">
        <v>0.01</v>
      </c>
      <c r="F248" s="20">
        <v>878.39</v>
      </c>
      <c r="Q248" s="25">
        <v>24.7</v>
      </c>
      <c r="R248" s="20">
        <v>50</v>
      </c>
      <c r="S248" s="20">
        <v>50.47</v>
      </c>
      <c r="T248" s="20">
        <v>-0.47</v>
      </c>
      <c r="U248" s="20">
        <v>-0.02</v>
      </c>
      <c r="V248" s="20">
        <v>967.36</v>
      </c>
    </row>
    <row r="249" spans="1:22" ht="16.8" x14ac:dyDescent="0.3">
      <c r="A249" s="20">
        <v>24.9</v>
      </c>
      <c r="B249" s="20">
        <v>50.02</v>
      </c>
      <c r="C249" s="20">
        <v>50</v>
      </c>
      <c r="D249" s="20">
        <v>-0.02</v>
      </c>
      <c r="E249" s="20">
        <v>-0.04</v>
      </c>
      <c r="F249" s="20">
        <v>871.14</v>
      </c>
      <c r="Q249" s="20">
        <v>24.8</v>
      </c>
      <c r="R249" s="20">
        <v>50</v>
      </c>
      <c r="S249" s="20">
        <v>50.42</v>
      </c>
      <c r="T249" s="20">
        <v>-0.42</v>
      </c>
      <c r="U249" s="20">
        <v>0.04</v>
      </c>
      <c r="V249" s="20">
        <v>1094.1300000000001</v>
      </c>
    </row>
    <row r="250" spans="1:22" ht="16.8" x14ac:dyDescent="0.3">
      <c r="A250" s="20">
        <v>25</v>
      </c>
      <c r="B250" s="20">
        <v>50.01</v>
      </c>
      <c r="C250" s="20">
        <v>50</v>
      </c>
      <c r="D250" s="20">
        <v>-0.01</v>
      </c>
      <c r="E250" s="20">
        <v>0.01</v>
      </c>
      <c r="F250" s="20">
        <v>874.01</v>
      </c>
      <c r="Q250" s="25">
        <v>24.9</v>
      </c>
      <c r="R250" s="20">
        <v>50</v>
      </c>
      <c r="S250" s="20">
        <v>50.44</v>
      </c>
      <c r="T250" s="20">
        <v>-0.44</v>
      </c>
      <c r="U250" s="20">
        <v>-0.02</v>
      </c>
      <c r="V250" s="20">
        <v>979.64</v>
      </c>
    </row>
    <row r="251" spans="1:22" ht="16.8" x14ac:dyDescent="0.3">
      <c r="A251" s="20">
        <v>25.1</v>
      </c>
      <c r="B251" s="20">
        <v>50</v>
      </c>
      <c r="C251" s="20">
        <v>50</v>
      </c>
      <c r="D251" s="20">
        <v>0</v>
      </c>
      <c r="E251" s="20">
        <v>0.01</v>
      </c>
      <c r="F251" s="20">
        <v>875.86</v>
      </c>
      <c r="Q251" s="20">
        <v>25</v>
      </c>
      <c r="R251" s="20">
        <v>50</v>
      </c>
      <c r="S251" s="20">
        <v>50.45</v>
      </c>
      <c r="T251" s="20">
        <v>-0.45</v>
      </c>
      <c r="U251" s="20">
        <v>-0.02</v>
      </c>
      <c r="V251" s="20">
        <v>972.78</v>
      </c>
    </row>
    <row r="252" spans="1:22" ht="16.8" x14ac:dyDescent="0.3">
      <c r="A252" s="20">
        <v>25.2</v>
      </c>
      <c r="B252" s="20">
        <v>50</v>
      </c>
      <c r="C252" s="20">
        <v>50</v>
      </c>
      <c r="D252" s="20">
        <v>0</v>
      </c>
      <c r="E252" s="20">
        <v>0</v>
      </c>
      <c r="F252" s="20">
        <v>875.62</v>
      </c>
      <c r="Q252" s="25">
        <v>25.1</v>
      </c>
      <c r="R252" s="20">
        <v>50</v>
      </c>
      <c r="S252" s="20">
        <v>50.47</v>
      </c>
      <c r="T252" s="20">
        <v>-0.47</v>
      </c>
      <c r="U252" s="20">
        <v>-0.01</v>
      </c>
      <c r="V252" s="20">
        <v>967.36</v>
      </c>
    </row>
    <row r="253" spans="1:22" ht="16.8" x14ac:dyDescent="0.3">
      <c r="A253" s="20">
        <v>25.3</v>
      </c>
      <c r="B253" s="20">
        <v>49.99</v>
      </c>
      <c r="C253" s="20">
        <v>50</v>
      </c>
      <c r="D253" s="20">
        <v>0.01</v>
      </c>
      <c r="E253" s="20">
        <v>0.01</v>
      </c>
      <c r="F253" s="20">
        <v>877.73</v>
      </c>
      <c r="Q253" s="25">
        <v>25.2</v>
      </c>
      <c r="R253" s="20">
        <v>50</v>
      </c>
      <c r="S253" s="20">
        <v>50.47</v>
      </c>
      <c r="T253" s="20">
        <v>-0.47</v>
      </c>
      <c r="U253" s="20">
        <v>0</v>
      </c>
      <c r="V253" s="20">
        <v>967.36</v>
      </c>
    </row>
    <row r="254" spans="1:22" ht="16.8" x14ac:dyDescent="0.3">
      <c r="A254" s="20">
        <v>25.4</v>
      </c>
      <c r="B254" s="20">
        <v>49.99</v>
      </c>
      <c r="C254" s="20">
        <v>50</v>
      </c>
      <c r="D254" s="20">
        <v>0.01</v>
      </c>
      <c r="E254" s="20">
        <v>0</v>
      </c>
      <c r="F254" s="20">
        <v>877.52</v>
      </c>
      <c r="Q254" s="20">
        <v>25.3</v>
      </c>
      <c r="R254" s="20">
        <v>50</v>
      </c>
      <c r="S254" s="20">
        <v>50.45</v>
      </c>
      <c r="T254" s="20">
        <v>-0.45</v>
      </c>
      <c r="U254" s="20">
        <v>0.01</v>
      </c>
      <c r="V254" s="20">
        <v>1007.54</v>
      </c>
    </row>
    <row r="255" spans="1:22" ht="16.8" x14ac:dyDescent="0.3">
      <c r="A255" s="20">
        <v>25.5</v>
      </c>
      <c r="B255" s="20">
        <v>49.99</v>
      </c>
      <c r="C255" s="20">
        <v>50</v>
      </c>
      <c r="D255" s="20">
        <v>0.01</v>
      </c>
      <c r="E255" s="20">
        <v>0</v>
      </c>
      <c r="F255" s="20">
        <v>876.84</v>
      </c>
      <c r="Q255" s="25">
        <v>25.4</v>
      </c>
      <c r="R255" s="20">
        <v>50</v>
      </c>
      <c r="S255" s="20">
        <v>50.45</v>
      </c>
      <c r="T255" s="20">
        <v>-0.45</v>
      </c>
      <c r="U255" s="20">
        <v>0</v>
      </c>
      <c r="V255" s="20">
        <v>972.78</v>
      </c>
    </row>
    <row r="256" spans="1:22" ht="16.8" x14ac:dyDescent="0.3">
      <c r="A256" s="20">
        <v>25.6</v>
      </c>
      <c r="B256" s="20">
        <v>50</v>
      </c>
      <c r="C256" s="20">
        <v>50</v>
      </c>
      <c r="D256" s="20">
        <v>0</v>
      </c>
      <c r="E256" s="20">
        <v>-0.01</v>
      </c>
      <c r="F256" s="20">
        <v>875.53</v>
      </c>
      <c r="Q256" s="20">
        <v>25.5</v>
      </c>
      <c r="R256" s="20">
        <v>50</v>
      </c>
      <c r="S256" s="20">
        <v>50.43</v>
      </c>
      <c r="T256" s="20">
        <v>-0.43</v>
      </c>
      <c r="U256" s="20">
        <v>0.02</v>
      </c>
      <c r="V256" s="20">
        <v>1035.49</v>
      </c>
    </row>
    <row r="257" spans="1:22" ht="16.8" x14ac:dyDescent="0.3">
      <c r="A257" s="20">
        <v>25.7</v>
      </c>
      <c r="B257" s="20">
        <v>50.01</v>
      </c>
      <c r="C257" s="20">
        <v>50</v>
      </c>
      <c r="D257" s="20">
        <v>-0.01</v>
      </c>
      <c r="E257" s="20">
        <v>-0.01</v>
      </c>
      <c r="F257" s="20">
        <v>873.58</v>
      </c>
      <c r="Q257" s="25">
        <v>25.6</v>
      </c>
      <c r="R257" s="20">
        <v>50</v>
      </c>
      <c r="S257" s="20">
        <v>50.43</v>
      </c>
      <c r="T257" s="20">
        <v>-0.43</v>
      </c>
      <c r="U257" s="20">
        <v>0</v>
      </c>
      <c r="V257" s="20">
        <v>994.28</v>
      </c>
    </row>
    <row r="258" spans="1:22" ht="16.8" x14ac:dyDescent="0.3">
      <c r="A258" s="20">
        <v>25.8</v>
      </c>
      <c r="B258" s="20">
        <v>49.99</v>
      </c>
      <c r="C258" s="20">
        <v>50</v>
      </c>
      <c r="D258" s="20">
        <v>0.01</v>
      </c>
      <c r="E258" s="20">
        <v>0.02</v>
      </c>
      <c r="F258" s="20">
        <v>878.03</v>
      </c>
      <c r="Q258" s="20">
        <v>25.7</v>
      </c>
      <c r="R258" s="20">
        <v>50</v>
      </c>
      <c r="S258" s="20">
        <v>50.45</v>
      </c>
      <c r="T258" s="20">
        <v>-0.45</v>
      </c>
      <c r="U258" s="20">
        <v>-0.02</v>
      </c>
      <c r="V258" s="20">
        <v>974.54</v>
      </c>
    </row>
    <row r="259" spans="1:22" ht="16.8" x14ac:dyDescent="0.3">
      <c r="A259" s="20">
        <v>25.9</v>
      </c>
      <c r="B259" s="20">
        <v>49.96</v>
      </c>
      <c r="C259" s="20">
        <v>50</v>
      </c>
      <c r="D259" s="20">
        <v>0.04</v>
      </c>
      <c r="E259" s="20">
        <v>0.03</v>
      </c>
      <c r="F259" s="20">
        <v>882.5</v>
      </c>
      <c r="Q259" s="25">
        <v>25.8</v>
      </c>
      <c r="R259" s="20">
        <v>50</v>
      </c>
      <c r="S259" s="20">
        <v>50.46</v>
      </c>
      <c r="T259" s="20">
        <v>-0.46</v>
      </c>
      <c r="U259" s="20">
        <v>-0.01</v>
      </c>
      <c r="V259" s="20">
        <v>969.19</v>
      </c>
    </row>
    <row r="260" spans="1:22" ht="16.8" x14ac:dyDescent="0.3">
      <c r="A260" s="20">
        <v>26</v>
      </c>
      <c r="B260" s="20">
        <v>49.98</v>
      </c>
      <c r="C260" s="20">
        <v>50</v>
      </c>
      <c r="D260" s="20">
        <v>0.02</v>
      </c>
      <c r="E260" s="20">
        <v>-0.02</v>
      </c>
      <c r="F260" s="20">
        <v>878.5</v>
      </c>
      <c r="Q260" s="25">
        <v>25.9</v>
      </c>
      <c r="R260" s="20">
        <v>50</v>
      </c>
      <c r="S260" s="20">
        <v>50.43</v>
      </c>
      <c r="T260" s="20">
        <v>-0.43</v>
      </c>
      <c r="U260" s="20">
        <v>0.03</v>
      </c>
      <c r="V260" s="20">
        <v>1065.69</v>
      </c>
    </row>
    <row r="261" spans="1:22" ht="16.8" x14ac:dyDescent="0.3">
      <c r="A261" s="20">
        <v>26.1</v>
      </c>
      <c r="B261" s="20">
        <v>49.93</v>
      </c>
      <c r="C261" s="20">
        <v>50</v>
      </c>
      <c r="D261" s="20">
        <v>7.0000000000000007E-2</v>
      </c>
      <c r="E261" s="20">
        <v>0.05</v>
      </c>
      <c r="F261" s="20">
        <v>887.41</v>
      </c>
      <c r="Q261" s="20">
        <v>26</v>
      </c>
      <c r="R261" s="20">
        <v>50</v>
      </c>
      <c r="S261" s="20">
        <v>50.44</v>
      </c>
      <c r="T261" s="20">
        <v>-0.44</v>
      </c>
      <c r="U261" s="20">
        <v>-0.01</v>
      </c>
      <c r="V261" s="20">
        <v>979.64</v>
      </c>
    </row>
    <row r="262" spans="1:22" ht="16.8" x14ac:dyDescent="0.3">
      <c r="A262" s="20">
        <v>26.2</v>
      </c>
      <c r="B262" s="20">
        <v>49.98</v>
      </c>
      <c r="C262" s="20">
        <v>50</v>
      </c>
      <c r="D262" s="20">
        <v>0.02</v>
      </c>
      <c r="E262" s="20">
        <v>-0.05</v>
      </c>
      <c r="F262" s="20">
        <v>878.13</v>
      </c>
      <c r="Q262" s="25">
        <v>26.1</v>
      </c>
      <c r="R262" s="20">
        <v>50</v>
      </c>
      <c r="S262" s="20">
        <v>50.47</v>
      </c>
      <c r="T262" s="20">
        <v>-0.47</v>
      </c>
      <c r="U262" s="20">
        <v>-0.03</v>
      </c>
      <c r="V262" s="20">
        <v>967.36</v>
      </c>
    </row>
    <row r="263" spans="1:22" ht="16.8" x14ac:dyDescent="0.3">
      <c r="A263" s="20">
        <v>26.3</v>
      </c>
      <c r="B263" s="20">
        <v>49.94</v>
      </c>
      <c r="C263" s="20">
        <v>50</v>
      </c>
      <c r="D263" s="20">
        <v>0.06</v>
      </c>
      <c r="E263" s="20">
        <v>0.04</v>
      </c>
      <c r="F263" s="20">
        <v>885.48</v>
      </c>
      <c r="Q263" s="20">
        <v>26.2</v>
      </c>
      <c r="R263" s="20">
        <v>50</v>
      </c>
      <c r="S263" s="20">
        <v>50.46</v>
      </c>
      <c r="T263" s="20">
        <v>-0.46</v>
      </c>
      <c r="U263" s="20">
        <v>0.01</v>
      </c>
      <c r="V263" s="20">
        <v>994.68</v>
      </c>
    </row>
    <row r="264" spans="1:22" ht="16.8" x14ac:dyDescent="0.3">
      <c r="A264" s="20">
        <v>26.4</v>
      </c>
      <c r="B264" s="20">
        <v>49.91</v>
      </c>
      <c r="C264" s="20">
        <v>50</v>
      </c>
      <c r="D264" s="20">
        <v>0.09</v>
      </c>
      <c r="E264" s="20">
        <v>0.03</v>
      </c>
      <c r="F264" s="20">
        <v>890.52</v>
      </c>
      <c r="Q264" s="25">
        <v>26.3</v>
      </c>
      <c r="R264" s="20">
        <v>50</v>
      </c>
      <c r="S264" s="20">
        <v>50.43</v>
      </c>
      <c r="T264" s="20">
        <v>-0.43</v>
      </c>
      <c r="U264" s="20">
        <v>0.02</v>
      </c>
      <c r="V264" s="20">
        <v>1045.46</v>
      </c>
    </row>
    <row r="265" spans="1:22" ht="16.8" x14ac:dyDescent="0.3">
      <c r="A265" s="20">
        <v>26.5</v>
      </c>
      <c r="B265" s="20">
        <v>49.94</v>
      </c>
      <c r="C265" s="20">
        <v>50</v>
      </c>
      <c r="D265" s="20">
        <v>0.06</v>
      </c>
      <c r="E265" s="20">
        <v>-0.03</v>
      </c>
      <c r="F265" s="20">
        <v>884.42</v>
      </c>
      <c r="Q265" s="25">
        <v>26.4</v>
      </c>
      <c r="R265" s="20">
        <v>50</v>
      </c>
      <c r="S265" s="20">
        <v>50.44</v>
      </c>
      <c r="T265" s="20">
        <v>-0.44</v>
      </c>
      <c r="U265" s="20">
        <v>-0.01</v>
      </c>
      <c r="V265" s="20">
        <v>977.96</v>
      </c>
    </row>
    <row r="266" spans="1:22" ht="16.8" x14ac:dyDescent="0.3">
      <c r="A266" s="20">
        <v>26.6</v>
      </c>
      <c r="B266" s="20">
        <v>49.93</v>
      </c>
      <c r="C266" s="20">
        <v>50</v>
      </c>
      <c r="D266" s="20">
        <v>7.0000000000000007E-2</v>
      </c>
      <c r="E266" s="20">
        <v>0.01</v>
      </c>
      <c r="F266" s="20">
        <v>886.6</v>
      </c>
      <c r="Q266" s="20">
        <v>26.5</v>
      </c>
      <c r="R266" s="20">
        <v>50</v>
      </c>
      <c r="S266" s="20">
        <v>50.43</v>
      </c>
      <c r="T266" s="20">
        <v>-0.43</v>
      </c>
      <c r="U266" s="20">
        <v>0.02</v>
      </c>
      <c r="V266" s="20">
        <v>1027.81</v>
      </c>
    </row>
    <row r="267" spans="1:22" ht="16.8" x14ac:dyDescent="0.3">
      <c r="A267" s="20">
        <v>26.7</v>
      </c>
      <c r="B267" s="20">
        <v>49.91</v>
      </c>
      <c r="C267" s="20">
        <v>50</v>
      </c>
      <c r="D267" s="20">
        <v>0.09</v>
      </c>
      <c r="E267" s="20">
        <v>0.02</v>
      </c>
      <c r="F267" s="20">
        <v>890.1</v>
      </c>
      <c r="Q267" s="25">
        <v>26.6</v>
      </c>
      <c r="R267" s="20">
        <v>50</v>
      </c>
      <c r="S267" s="20">
        <v>50.38</v>
      </c>
      <c r="T267" s="20">
        <v>-0.38</v>
      </c>
      <c r="U267" s="20">
        <v>0.04</v>
      </c>
      <c r="V267" s="20">
        <v>1102.2</v>
      </c>
    </row>
    <row r="268" spans="1:22" ht="16.8" x14ac:dyDescent="0.3">
      <c r="A268" s="20">
        <v>26.8</v>
      </c>
      <c r="B268" s="20">
        <v>49.93</v>
      </c>
      <c r="C268" s="20">
        <v>50</v>
      </c>
      <c r="D268" s="20">
        <v>7.0000000000000007E-2</v>
      </c>
      <c r="E268" s="20">
        <v>-0.02</v>
      </c>
      <c r="F268" s="20">
        <v>887.05</v>
      </c>
      <c r="Q268" s="20">
        <v>26.7</v>
      </c>
      <c r="R268" s="20">
        <v>50</v>
      </c>
      <c r="S268" s="20">
        <v>50.43</v>
      </c>
      <c r="T268" s="20">
        <v>-0.43</v>
      </c>
      <c r="U268" s="20">
        <v>-0.04</v>
      </c>
      <c r="V268" s="20">
        <v>984.48</v>
      </c>
    </row>
    <row r="269" spans="1:22" ht="16.8" x14ac:dyDescent="0.3">
      <c r="A269" s="20">
        <v>26.9</v>
      </c>
      <c r="B269" s="20">
        <v>49.92</v>
      </c>
      <c r="C269" s="20">
        <v>50</v>
      </c>
      <c r="D269" s="20">
        <v>0.08</v>
      </c>
      <c r="E269" s="20">
        <v>0.01</v>
      </c>
      <c r="F269" s="20">
        <v>888.93</v>
      </c>
      <c r="Q269" s="25">
        <v>26.8</v>
      </c>
      <c r="R269" s="20">
        <v>50</v>
      </c>
      <c r="S269" s="20">
        <v>50.41</v>
      </c>
      <c r="T269" s="20">
        <v>-0.41</v>
      </c>
      <c r="U269" s="20">
        <v>0.02</v>
      </c>
      <c r="V269" s="20">
        <v>1043.76</v>
      </c>
    </row>
    <row r="270" spans="1:22" ht="16.8" x14ac:dyDescent="0.3">
      <c r="A270" s="20">
        <v>27</v>
      </c>
      <c r="B270" s="20">
        <v>49.96</v>
      </c>
      <c r="C270" s="20">
        <v>50</v>
      </c>
      <c r="D270" s="20">
        <v>0.04</v>
      </c>
      <c r="E270" s="20">
        <v>-0.04</v>
      </c>
      <c r="F270" s="20">
        <v>881.88</v>
      </c>
      <c r="Q270" s="25">
        <v>26.9</v>
      </c>
      <c r="R270" s="20">
        <v>50</v>
      </c>
      <c r="S270" s="20">
        <v>50.38</v>
      </c>
      <c r="T270" s="20">
        <v>-0.38</v>
      </c>
      <c r="U270" s="20">
        <v>0.03</v>
      </c>
      <c r="V270" s="20">
        <v>1069.5</v>
      </c>
    </row>
    <row r="271" spans="1:22" ht="16.8" x14ac:dyDescent="0.3">
      <c r="A271" s="20">
        <v>27.1</v>
      </c>
      <c r="B271" s="20">
        <v>49.91</v>
      </c>
      <c r="C271" s="20">
        <v>50</v>
      </c>
      <c r="D271" s="20">
        <v>0.09</v>
      </c>
      <c r="E271" s="20">
        <v>0.05</v>
      </c>
      <c r="F271" s="20">
        <v>891.93</v>
      </c>
      <c r="Q271" s="20">
        <v>27</v>
      </c>
      <c r="R271" s="20">
        <v>50</v>
      </c>
      <c r="S271" s="20">
        <v>50.42</v>
      </c>
      <c r="T271" s="20">
        <v>-0.42</v>
      </c>
      <c r="U271" s="20">
        <v>-0.04</v>
      </c>
      <c r="V271" s="20">
        <v>986.05</v>
      </c>
    </row>
    <row r="272" spans="1:22" ht="16.8" x14ac:dyDescent="0.3">
      <c r="A272" s="20">
        <v>27.2</v>
      </c>
      <c r="B272" s="20">
        <v>49.92</v>
      </c>
      <c r="C272" s="20">
        <v>50</v>
      </c>
      <c r="D272" s="20">
        <v>0.08</v>
      </c>
      <c r="E272" s="20">
        <v>-0.01</v>
      </c>
      <c r="F272" s="20">
        <v>888.96</v>
      </c>
      <c r="Q272" s="25">
        <v>27.1</v>
      </c>
      <c r="R272" s="20">
        <v>50</v>
      </c>
      <c r="S272" s="20">
        <v>50.44</v>
      </c>
      <c r="T272" s="20">
        <v>-0.44</v>
      </c>
      <c r="U272" s="20">
        <v>-0.02</v>
      </c>
      <c r="V272" s="20">
        <v>977.96</v>
      </c>
    </row>
    <row r="273" spans="1:22" ht="16.8" x14ac:dyDescent="0.3">
      <c r="A273" s="20">
        <v>27.3</v>
      </c>
      <c r="B273" s="20">
        <v>49.93</v>
      </c>
      <c r="C273" s="20">
        <v>50</v>
      </c>
      <c r="D273" s="20">
        <v>7.0000000000000007E-2</v>
      </c>
      <c r="E273" s="20">
        <v>-0.01</v>
      </c>
      <c r="F273" s="20">
        <v>887.95</v>
      </c>
      <c r="Q273" s="20">
        <v>27.2</v>
      </c>
      <c r="R273" s="20">
        <v>50</v>
      </c>
      <c r="S273" s="20">
        <v>50.38</v>
      </c>
      <c r="T273" s="20">
        <v>-0.38</v>
      </c>
      <c r="U273" s="20">
        <v>0.06</v>
      </c>
      <c r="V273" s="20">
        <v>1140.5999999999999</v>
      </c>
    </row>
    <row r="274" spans="1:22" ht="16.8" x14ac:dyDescent="0.3">
      <c r="A274" s="20">
        <v>27.4</v>
      </c>
      <c r="B274" s="20">
        <v>49.89</v>
      </c>
      <c r="C274" s="20">
        <v>50</v>
      </c>
      <c r="D274" s="20">
        <v>0.11</v>
      </c>
      <c r="E274" s="20">
        <v>0.04</v>
      </c>
      <c r="F274" s="20">
        <v>894.6</v>
      </c>
      <c r="Q274" s="25">
        <v>27.3</v>
      </c>
      <c r="R274" s="20">
        <v>50</v>
      </c>
      <c r="S274" s="20">
        <v>50.44</v>
      </c>
      <c r="T274" s="20">
        <v>-0.44</v>
      </c>
      <c r="U274" s="20">
        <v>-0.06</v>
      </c>
      <c r="V274" s="20">
        <v>977.96</v>
      </c>
    </row>
    <row r="275" spans="1:22" ht="16.8" x14ac:dyDescent="0.3">
      <c r="A275" s="20">
        <v>27.5</v>
      </c>
      <c r="B275" s="20">
        <v>49.89</v>
      </c>
      <c r="C275" s="20">
        <v>50</v>
      </c>
      <c r="D275" s="20">
        <v>0.11</v>
      </c>
      <c r="E275" s="20">
        <v>0.01</v>
      </c>
      <c r="F275" s="20">
        <v>895.51</v>
      </c>
      <c r="Q275" s="20">
        <v>27.4</v>
      </c>
      <c r="R275" s="20">
        <v>50</v>
      </c>
      <c r="S275" s="20">
        <v>50.44</v>
      </c>
      <c r="T275" s="20">
        <v>-0.44</v>
      </c>
      <c r="U275" s="20">
        <v>0</v>
      </c>
      <c r="V275" s="20">
        <v>991.2</v>
      </c>
    </row>
    <row r="276" spans="1:22" ht="16.8" x14ac:dyDescent="0.3">
      <c r="A276" s="20">
        <v>27.6</v>
      </c>
      <c r="B276" s="20">
        <v>49.92</v>
      </c>
      <c r="C276" s="20">
        <v>50</v>
      </c>
      <c r="D276" s="20">
        <v>0.08</v>
      </c>
      <c r="E276" s="20">
        <v>-0.03</v>
      </c>
      <c r="F276" s="20">
        <v>889.94</v>
      </c>
      <c r="Q276" s="25">
        <v>27.5</v>
      </c>
      <c r="R276" s="20">
        <v>50</v>
      </c>
      <c r="S276" s="20">
        <v>50.45</v>
      </c>
      <c r="T276" s="20">
        <v>-0.45</v>
      </c>
      <c r="U276" s="20">
        <v>-0.02</v>
      </c>
      <c r="V276" s="20">
        <v>972.78</v>
      </c>
    </row>
    <row r="277" spans="1:22" ht="16.8" x14ac:dyDescent="0.3">
      <c r="A277" s="20">
        <v>27.7</v>
      </c>
      <c r="B277" s="20">
        <v>49.93</v>
      </c>
      <c r="C277" s="20">
        <v>50</v>
      </c>
      <c r="D277" s="20">
        <v>7.0000000000000007E-2</v>
      </c>
      <c r="E277" s="20">
        <v>-0.02</v>
      </c>
      <c r="F277" s="20">
        <v>887.94</v>
      </c>
      <c r="Q277" s="25">
        <v>27.6</v>
      </c>
      <c r="R277" s="20">
        <v>50</v>
      </c>
      <c r="S277" s="20">
        <v>50.45</v>
      </c>
      <c r="T277" s="20">
        <v>-0.45</v>
      </c>
      <c r="U277" s="20">
        <v>0.01</v>
      </c>
      <c r="V277" s="20">
        <v>999.41</v>
      </c>
    </row>
    <row r="278" spans="1:22" ht="16.8" x14ac:dyDescent="0.3">
      <c r="A278" s="20">
        <v>27.8</v>
      </c>
      <c r="B278" s="20">
        <v>49.91</v>
      </c>
      <c r="C278" s="20">
        <v>50</v>
      </c>
      <c r="D278" s="20">
        <v>0.09</v>
      </c>
      <c r="E278" s="20">
        <v>0.03</v>
      </c>
      <c r="F278" s="20">
        <v>893.34</v>
      </c>
      <c r="Q278" s="20">
        <v>27.7</v>
      </c>
      <c r="R278" s="20">
        <v>50</v>
      </c>
      <c r="S278" s="20">
        <v>50.45</v>
      </c>
      <c r="T278" s="20">
        <v>-0.45</v>
      </c>
      <c r="U278" s="20">
        <v>-0.01</v>
      </c>
      <c r="V278" s="20">
        <v>972.78</v>
      </c>
    </row>
    <row r="279" spans="1:22" ht="16.8" x14ac:dyDescent="0.3">
      <c r="A279" s="20">
        <v>27.9</v>
      </c>
      <c r="B279" s="20">
        <v>49.89</v>
      </c>
      <c r="C279" s="20">
        <v>50</v>
      </c>
      <c r="D279" s="20">
        <v>0.11</v>
      </c>
      <c r="E279" s="20">
        <v>0.01</v>
      </c>
      <c r="F279" s="20">
        <v>895.08</v>
      </c>
      <c r="Q279" s="25">
        <v>27.8</v>
      </c>
      <c r="R279" s="20">
        <v>50</v>
      </c>
      <c r="S279" s="20">
        <v>50.43</v>
      </c>
      <c r="T279" s="20">
        <v>-0.43</v>
      </c>
      <c r="U279" s="20">
        <v>0.02</v>
      </c>
      <c r="V279" s="20">
        <v>1035.49</v>
      </c>
    </row>
    <row r="280" spans="1:22" ht="16.8" x14ac:dyDescent="0.3">
      <c r="A280" s="20">
        <v>28</v>
      </c>
      <c r="B280" s="20">
        <v>49.93</v>
      </c>
      <c r="C280" s="20">
        <v>50</v>
      </c>
      <c r="D280" s="20">
        <v>7.0000000000000007E-2</v>
      </c>
      <c r="E280" s="20">
        <v>-0.03</v>
      </c>
      <c r="F280" s="20">
        <v>889.42</v>
      </c>
      <c r="Q280" s="20">
        <v>27.9</v>
      </c>
      <c r="R280" s="20">
        <v>50</v>
      </c>
      <c r="S280" s="20">
        <v>50.49</v>
      </c>
      <c r="T280" s="20">
        <v>-0.49</v>
      </c>
      <c r="U280" s="20">
        <v>-0.05</v>
      </c>
      <c r="V280" s="20">
        <v>957.7</v>
      </c>
    </row>
    <row r="281" spans="1:22" ht="16.8" x14ac:dyDescent="0.3">
      <c r="A281" s="20">
        <v>28.1</v>
      </c>
      <c r="B281" s="20">
        <v>49.9</v>
      </c>
      <c r="C281" s="20">
        <v>50</v>
      </c>
      <c r="D281" s="20">
        <v>0.1</v>
      </c>
      <c r="E281" s="20">
        <v>0.02</v>
      </c>
      <c r="F281" s="20">
        <v>894.45</v>
      </c>
      <c r="Q281" s="25">
        <v>28</v>
      </c>
      <c r="R281" s="20">
        <v>50</v>
      </c>
      <c r="S281" s="20">
        <v>50.45</v>
      </c>
      <c r="T281" s="20">
        <v>-0.45</v>
      </c>
      <c r="U281" s="20">
        <v>0.04</v>
      </c>
      <c r="V281" s="20">
        <v>1069.9000000000001</v>
      </c>
    </row>
    <row r="282" spans="1:22" ht="16.8" x14ac:dyDescent="0.3">
      <c r="A282" s="20">
        <v>28.2</v>
      </c>
      <c r="B282" s="20">
        <v>49.88</v>
      </c>
      <c r="C282" s="20">
        <v>50</v>
      </c>
      <c r="D282" s="20">
        <v>0.12</v>
      </c>
      <c r="E282" s="20">
        <v>0.02</v>
      </c>
      <c r="F282" s="20">
        <v>898.4</v>
      </c>
      <c r="Q282" s="25">
        <v>28.1</v>
      </c>
      <c r="R282" s="20">
        <v>50</v>
      </c>
      <c r="S282" s="20">
        <v>50.5</v>
      </c>
      <c r="T282" s="20">
        <v>-0.5</v>
      </c>
      <c r="U282" s="20">
        <v>-0.05</v>
      </c>
      <c r="V282" s="20">
        <v>951.43</v>
      </c>
    </row>
    <row r="283" spans="1:22" ht="16.8" x14ac:dyDescent="0.3">
      <c r="A283" s="20">
        <v>28.3</v>
      </c>
      <c r="B283" s="20">
        <v>49.9</v>
      </c>
      <c r="C283" s="20">
        <v>50</v>
      </c>
      <c r="D283" s="20">
        <v>0.1</v>
      </c>
      <c r="E283" s="20">
        <v>-0.02</v>
      </c>
      <c r="F283" s="20">
        <v>893.95</v>
      </c>
      <c r="Q283" s="20">
        <v>28.2</v>
      </c>
      <c r="R283" s="20">
        <v>50</v>
      </c>
      <c r="S283" s="20">
        <v>50.46</v>
      </c>
      <c r="T283" s="20">
        <v>-0.46</v>
      </c>
      <c r="U283" s="20">
        <v>0.04</v>
      </c>
      <c r="V283" s="20">
        <v>1066.8399999999999</v>
      </c>
    </row>
    <row r="284" spans="1:22" ht="16.8" x14ac:dyDescent="0.3">
      <c r="A284" s="20">
        <v>28.4</v>
      </c>
      <c r="B284" s="20">
        <v>49.97</v>
      </c>
      <c r="C284" s="20">
        <v>50</v>
      </c>
      <c r="D284" s="20">
        <v>0.03</v>
      </c>
      <c r="E284" s="20">
        <v>-0.06</v>
      </c>
      <c r="F284" s="20">
        <v>883.35</v>
      </c>
      <c r="Q284" s="25">
        <v>28.3</v>
      </c>
      <c r="R284" s="20">
        <v>50</v>
      </c>
      <c r="S284" s="20">
        <v>50.51</v>
      </c>
      <c r="T284" s="20">
        <v>-0.51</v>
      </c>
      <c r="U284" s="20">
        <v>-0.04</v>
      </c>
      <c r="V284" s="20">
        <v>947.08</v>
      </c>
    </row>
    <row r="285" spans="1:22" ht="16.8" x14ac:dyDescent="0.3">
      <c r="A285" s="20">
        <v>28.5</v>
      </c>
      <c r="B285" s="20">
        <v>49.87</v>
      </c>
      <c r="C285" s="20">
        <v>50</v>
      </c>
      <c r="D285" s="20">
        <v>0.13</v>
      </c>
      <c r="E285" s="20">
        <v>0.09</v>
      </c>
      <c r="F285" s="20">
        <v>900.93</v>
      </c>
      <c r="Q285" s="20">
        <v>28.4</v>
      </c>
      <c r="R285" s="20">
        <v>50</v>
      </c>
      <c r="S285" s="20">
        <v>50.46</v>
      </c>
      <c r="T285" s="20">
        <v>-0.46</v>
      </c>
      <c r="U285" s="20">
        <v>0.05</v>
      </c>
      <c r="V285" s="20">
        <v>1095.2</v>
      </c>
    </row>
    <row r="286" spans="1:22" ht="16.8" x14ac:dyDescent="0.3">
      <c r="A286" s="20">
        <v>28.6</v>
      </c>
      <c r="B286" s="20">
        <v>49.92</v>
      </c>
      <c r="C286" s="20">
        <v>50</v>
      </c>
      <c r="D286" s="20">
        <v>0.08</v>
      </c>
      <c r="E286" s="20">
        <v>-0.05</v>
      </c>
      <c r="F286" s="20">
        <v>890.88</v>
      </c>
      <c r="Q286" s="25">
        <v>28.5</v>
      </c>
      <c r="R286" s="20">
        <v>50</v>
      </c>
      <c r="S286" s="20">
        <v>50.49</v>
      </c>
      <c r="T286" s="20">
        <v>-0.49</v>
      </c>
      <c r="U286" s="20">
        <v>-0.03</v>
      </c>
      <c r="V286" s="20">
        <v>955.65</v>
      </c>
    </row>
    <row r="287" spans="1:22" ht="16.8" x14ac:dyDescent="0.3">
      <c r="A287" s="20">
        <v>28.7</v>
      </c>
      <c r="B287" s="20">
        <v>49.9</v>
      </c>
      <c r="C287" s="20">
        <v>50</v>
      </c>
      <c r="D287" s="20">
        <v>0.1</v>
      </c>
      <c r="E287" s="20">
        <v>0.02</v>
      </c>
      <c r="F287" s="20">
        <v>895.53</v>
      </c>
      <c r="Q287" s="25">
        <v>28.6</v>
      </c>
      <c r="R287" s="20">
        <v>50</v>
      </c>
      <c r="S287" s="20">
        <v>50.5</v>
      </c>
      <c r="T287" s="20">
        <v>-0.5</v>
      </c>
      <c r="U287" s="20">
        <v>-0.01</v>
      </c>
      <c r="V287" s="20">
        <v>951.43</v>
      </c>
    </row>
    <row r="288" spans="1:22" ht="16.8" x14ac:dyDescent="0.3">
      <c r="A288" s="20">
        <v>28.8</v>
      </c>
      <c r="B288" s="20">
        <v>49.88</v>
      </c>
      <c r="C288" s="20">
        <v>50</v>
      </c>
      <c r="D288" s="20">
        <v>0.12</v>
      </c>
      <c r="E288" s="20">
        <v>0.02</v>
      </c>
      <c r="F288" s="20">
        <v>898.86</v>
      </c>
      <c r="Q288" s="20">
        <v>28.7</v>
      </c>
      <c r="R288" s="20">
        <v>50</v>
      </c>
      <c r="S288" s="20">
        <v>50.5</v>
      </c>
      <c r="T288" s="20">
        <v>-0.5</v>
      </c>
      <c r="U288" s="20">
        <v>0</v>
      </c>
      <c r="V288" s="20">
        <v>951.43</v>
      </c>
    </row>
    <row r="289" spans="1:22" ht="16.8" x14ac:dyDescent="0.3">
      <c r="A289" s="20">
        <v>28.9</v>
      </c>
      <c r="B289" s="20">
        <v>49.91</v>
      </c>
      <c r="C289" s="20">
        <v>50</v>
      </c>
      <c r="D289" s="20">
        <v>0.09</v>
      </c>
      <c r="E289" s="20">
        <v>-0.03</v>
      </c>
      <c r="F289" s="20">
        <v>893.06</v>
      </c>
      <c r="Q289" s="25">
        <v>28.8</v>
      </c>
      <c r="R289" s="20">
        <v>50</v>
      </c>
      <c r="S289" s="20">
        <v>50.47</v>
      </c>
      <c r="T289" s="20">
        <v>-0.47</v>
      </c>
      <c r="U289" s="20">
        <v>0.02</v>
      </c>
      <c r="V289" s="20">
        <v>1033.1099999999999</v>
      </c>
    </row>
    <row r="290" spans="1:22" ht="16.8" x14ac:dyDescent="0.3">
      <c r="A290" s="20">
        <v>29</v>
      </c>
      <c r="B290" s="20">
        <v>49.94</v>
      </c>
      <c r="C290" s="20">
        <v>50</v>
      </c>
      <c r="D290" s="20">
        <v>0.06</v>
      </c>
      <c r="E290" s="20">
        <v>-0.02</v>
      </c>
      <c r="F290" s="20">
        <v>889.65</v>
      </c>
      <c r="Q290" s="20">
        <v>28.9</v>
      </c>
      <c r="R290" s="20">
        <v>50</v>
      </c>
      <c r="S290" s="20">
        <v>50.49</v>
      </c>
      <c r="T290" s="20">
        <v>-0.49</v>
      </c>
      <c r="U290" s="20">
        <v>-0.02</v>
      </c>
      <c r="V290" s="20">
        <v>955.65</v>
      </c>
    </row>
    <row r="291" spans="1:22" ht="16.8" x14ac:dyDescent="0.3">
      <c r="A291" s="20">
        <v>29.1</v>
      </c>
      <c r="B291" s="20">
        <v>49.9</v>
      </c>
      <c r="C291" s="20">
        <v>50</v>
      </c>
      <c r="D291" s="20">
        <v>0.1</v>
      </c>
      <c r="E291" s="20">
        <v>0.04</v>
      </c>
      <c r="F291" s="20">
        <v>897.32</v>
      </c>
      <c r="Q291" s="25">
        <v>29</v>
      </c>
      <c r="R291" s="20">
        <v>50</v>
      </c>
      <c r="S291" s="20">
        <v>50.49</v>
      </c>
      <c r="T291" s="20">
        <v>-0.49</v>
      </c>
      <c r="U291" s="20">
        <v>0</v>
      </c>
      <c r="V291" s="20">
        <v>970.53</v>
      </c>
    </row>
    <row r="292" spans="1:22" ht="16.8" x14ac:dyDescent="0.3">
      <c r="A292" s="20">
        <v>29.2</v>
      </c>
      <c r="B292" s="20">
        <v>49.89</v>
      </c>
      <c r="C292" s="20">
        <v>50</v>
      </c>
      <c r="D292" s="20">
        <v>0.11</v>
      </c>
      <c r="E292" s="20">
        <v>0</v>
      </c>
      <c r="F292" s="20">
        <v>897.43</v>
      </c>
      <c r="Q292" s="25">
        <v>29.1</v>
      </c>
      <c r="R292" s="20">
        <v>50</v>
      </c>
      <c r="S292" s="20">
        <v>50.49</v>
      </c>
      <c r="T292" s="20">
        <v>-0.49</v>
      </c>
      <c r="U292" s="20">
        <v>0</v>
      </c>
      <c r="V292" s="20">
        <v>955.65</v>
      </c>
    </row>
    <row r="293" spans="1:22" ht="16.8" x14ac:dyDescent="0.3">
      <c r="A293" s="20">
        <v>29.3</v>
      </c>
      <c r="B293" s="20">
        <v>49.91</v>
      </c>
      <c r="C293" s="20">
        <v>50</v>
      </c>
      <c r="D293" s="20">
        <v>0.09</v>
      </c>
      <c r="E293" s="20">
        <v>-0.02</v>
      </c>
      <c r="F293" s="20">
        <v>894.04</v>
      </c>
      <c r="Q293" s="20">
        <v>29.2</v>
      </c>
      <c r="R293" s="20">
        <v>50</v>
      </c>
      <c r="S293" s="20">
        <v>50.52</v>
      </c>
      <c r="T293" s="20">
        <v>-0.52</v>
      </c>
      <c r="U293" s="20">
        <v>-0.03</v>
      </c>
      <c r="V293" s="20">
        <v>937.83</v>
      </c>
    </row>
    <row r="294" spans="1:22" ht="16.8" x14ac:dyDescent="0.3">
      <c r="A294" s="20">
        <v>29.4</v>
      </c>
      <c r="B294" s="20">
        <v>49.98</v>
      </c>
      <c r="C294" s="20">
        <v>50</v>
      </c>
      <c r="D294" s="20">
        <v>0.02</v>
      </c>
      <c r="E294" s="20">
        <v>-0.06</v>
      </c>
      <c r="F294" s="20">
        <v>884.05</v>
      </c>
      <c r="Q294" s="25">
        <v>29.3</v>
      </c>
      <c r="R294" s="20">
        <v>50</v>
      </c>
      <c r="S294" s="20">
        <v>50.51</v>
      </c>
      <c r="T294" s="20">
        <v>-0.51</v>
      </c>
      <c r="U294" s="20">
        <v>0.01</v>
      </c>
      <c r="V294" s="20">
        <v>984.42</v>
      </c>
    </row>
    <row r="295" spans="1:22" ht="16.8" x14ac:dyDescent="0.3">
      <c r="A295" s="20">
        <v>29.5</v>
      </c>
      <c r="B295" s="20">
        <v>49.95</v>
      </c>
      <c r="C295" s="20">
        <v>50</v>
      </c>
      <c r="D295" s="20">
        <v>0.05</v>
      </c>
      <c r="E295" s="20">
        <v>0.02</v>
      </c>
      <c r="F295" s="20">
        <v>888.84</v>
      </c>
      <c r="Q295" s="20">
        <v>29.4</v>
      </c>
      <c r="R295" s="20">
        <v>50</v>
      </c>
      <c r="S295" s="20">
        <v>50.49</v>
      </c>
      <c r="T295" s="20">
        <v>-0.49</v>
      </c>
      <c r="U295" s="20">
        <v>0.02</v>
      </c>
      <c r="V295" s="20">
        <v>1029.1099999999999</v>
      </c>
    </row>
    <row r="296" spans="1:22" ht="16.8" x14ac:dyDescent="0.3">
      <c r="A296" s="20">
        <v>29.6</v>
      </c>
      <c r="B296" s="20">
        <v>49.95</v>
      </c>
      <c r="C296" s="20">
        <v>50</v>
      </c>
      <c r="D296" s="20">
        <v>0.05</v>
      </c>
      <c r="E296" s="20">
        <v>0.01</v>
      </c>
      <c r="F296" s="20">
        <v>889.94</v>
      </c>
      <c r="Q296" s="25">
        <v>29.5</v>
      </c>
      <c r="R296" s="20">
        <v>50</v>
      </c>
      <c r="S296" s="20">
        <v>50.49</v>
      </c>
      <c r="T296" s="20">
        <v>-0.49</v>
      </c>
      <c r="U296" s="20">
        <v>0</v>
      </c>
      <c r="V296" s="20">
        <v>957.7</v>
      </c>
    </row>
    <row r="297" spans="1:22" ht="16.8" x14ac:dyDescent="0.3">
      <c r="A297" s="20">
        <v>29.7</v>
      </c>
      <c r="B297" s="20">
        <v>49.91</v>
      </c>
      <c r="C297" s="20">
        <v>50</v>
      </c>
      <c r="D297" s="20">
        <v>0.09</v>
      </c>
      <c r="E297" s="20">
        <v>0.04</v>
      </c>
      <c r="F297" s="20">
        <v>896.94</v>
      </c>
      <c r="Q297" s="25">
        <v>29.6</v>
      </c>
      <c r="R297" s="20">
        <v>50</v>
      </c>
      <c r="S297" s="20">
        <v>50.49</v>
      </c>
      <c r="T297" s="20">
        <v>-0.49</v>
      </c>
      <c r="U297" s="20">
        <v>0</v>
      </c>
      <c r="V297" s="20">
        <v>957.7</v>
      </c>
    </row>
    <row r="298" spans="1:22" ht="16.8" x14ac:dyDescent="0.3">
      <c r="A298" s="20">
        <v>29.8</v>
      </c>
      <c r="B298" s="20">
        <v>49.92</v>
      </c>
      <c r="C298" s="20">
        <v>50</v>
      </c>
      <c r="D298" s="20">
        <v>0.08</v>
      </c>
      <c r="E298" s="20">
        <v>-0.02</v>
      </c>
      <c r="F298" s="20">
        <v>893.51</v>
      </c>
      <c r="Q298" s="20">
        <v>29.7</v>
      </c>
      <c r="R298" s="20">
        <v>50</v>
      </c>
      <c r="S298" s="20">
        <v>50.5</v>
      </c>
      <c r="T298" s="20">
        <v>-0.5</v>
      </c>
      <c r="U298" s="20">
        <v>-0.01</v>
      </c>
      <c r="V298" s="20">
        <v>951.43</v>
      </c>
    </row>
    <row r="299" spans="1:22" ht="16.8" x14ac:dyDescent="0.3">
      <c r="A299" s="20">
        <v>29.9</v>
      </c>
      <c r="B299" s="20">
        <v>49.97</v>
      </c>
      <c r="C299" s="20">
        <v>50</v>
      </c>
      <c r="D299" s="20">
        <v>0.03</v>
      </c>
      <c r="E299" s="20">
        <v>-0.04</v>
      </c>
      <c r="F299" s="20">
        <v>886.24</v>
      </c>
      <c r="Q299" s="25">
        <v>29.8</v>
      </c>
      <c r="R299" s="20">
        <v>50</v>
      </c>
      <c r="S299" s="20">
        <v>50.47</v>
      </c>
      <c r="T299" s="20">
        <v>-0.47</v>
      </c>
      <c r="U299" s="20">
        <v>0.02</v>
      </c>
      <c r="V299" s="20">
        <v>1033.1099999999999</v>
      </c>
    </row>
    <row r="300" spans="1:22" ht="16.8" x14ac:dyDescent="0.3">
      <c r="A300" s="20">
        <v>30</v>
      </c>
      <c r="B300" s="20">
        <v>49.94</v>
      </c>
      <c r="C300" s="20">
        <v>50</v>
      </c>
      <c r="D300" s="20">
        <v>0.06</v>
      </c>
      <c r="E300" s="20">
        <v>0.02</v>
      </c>
      <c r="F300" s="20">
        <v>891.43</v>
      </c>
      <c r="Q300" s="20">
        <v>29.9</v>
      </c>
      <c r="R300" s="20">
        <v>50</v>
      </c>
      <c r="S300" s="20">
        <v>50.47</v>
      </c>
      <c r="T300" s="20">
        <v>-0.47</v>
      </c>
      <c r="U300" s="20">
        <v>0</v>
      </c>
      <c r="V300" s="20">
        <v>963.6</v>
      </c>
    </row>
    <row r="301" spans="1:22" ht="16.8" x14ac:dyDescent="0.3">
      <c r="A301" s="20">
        <v>30.1</v>
      </c>
      <c r="B301" s="20">
        <v>49.95</v>
      </c>
      <c r="C301" s="20">
        <v>50</v>
      </c>
      <c r="D301" s="20">
        <v>0.05</v>
      </c>
      <c r="E301" s="20">
        <v>-0.01</v>
      </c>
      <c r="F301" s="20">
        <v>889.65</v>
      </c>
      <c r="Q301" s="25">
        <v>30</v>
      </c>
      <c r="R301" s="20">
        <v>50</v>
      </c>
      <c r="S301" s="20">
        <v>50.51</v>
      </c>
      <c r="T301" s="20">
        <v>-0.51</v>
      </c>
      <c r="U301" s="20">
        <v>-0.03</v>
      </c>
      <c r="V301" s="20">
        <v>947.08</v>
      </c>
    </row>
    <row r="302" spans="1:22" ht="16.8" x14ac:dyDescent="0.3">
      <c r="A302" s="20">
        <v>30.2</v>
      </c>
      <c r="B302" s="20">
        <v>49.92</v>
      </c>
      <c r="C302" s="20">
        <v>50</v>
      </c>
      <c r="D302" s="20">
        <v>0.08</v>
      </c>
      <c r="E302" s="20">
        <v>0.03</v>
      </c>
      <c r="F302" s="20">
        <v>895.56</v>
      </c>
      <c r="Q302" s="25">
        <v>30.1</v>
      </c>
      <c r="R302" s="20">
        <v>50</v>
      </c>
      <c r="S302" s="20">
        <v>50.46</v>
      </c>
      <c r="T302" s="20">
        <v>-0.46</v>
      </c>
      <c r="U302" s="20">
        <v>0.04</v>
      </c>
      <c r="V302" s="20">
        <v>1085.44</v>
      </c>
    </row>
    <row r="303" spans="1:22" ht="16.8" x14ac:dyDescent="0.3">
      <c r="A303" s="20">
        <v>30.3</v>
      </c>
      <c r="B303" s="20">
        <v>49.92</v>
      </c>
      <c r="C303" s="20">
        <v>50</v>
      </c>
      <c r="D303" s="20">
        <v>0.08</v>
      </c>
      <c r="E303" s="20">
        <v>0</v>
      </c>
      <c r="F303" s="20">
        <v>894.38</v>
      </c>
      <c r="Q303" s="20">
        <v>30.2</v>
      </c>
      <c r="R303" s="20">
        <v>50</v>
      </c>
      <c r="S303" s="20">
        <v>50.46</v>
      </c>
      <c r="T303" s="20">
        <v>-0.46</v>
      </c>
      <c r="U303" s="20">
        <v>0</v>
      </c>
      <c r="V303" s="20">
        <v>969.19</v>
      </c>
    </row>
    <row r="304" spans="1:22" ht="16.8" x14ac:dyDescent="0.3">
      <c r="A304" s="20">
        <v>30.4</v>
      </c>
      <c r="B304" s="20">
        <v>49.89</v>
      </c>
      <c r="C304" s="20">
        <v>50</v>
      </c>
      <c r="D304" s="20">
        <v>0.11</v>
      </c>
      <c r="E304" s="20">
        <v>0.03</v>
      </c>
      <c r="F304" s="20">
        <v>900.26</v>
      </c>
      <c r="Q304" s="25">
        <v>30.3</v>
      </c>
      <c r="R304" s="20">
        <v>50</v>
      </c>
      <c r="S304" s="20">
        <v>50.48</v>
      </c>
      <c r="T304" s="20">
        <v>-0.48</v>
      </c>
      <c r="U304" s="20">
        <v>-0.02</v>
      </c>
      <c r="V304" s="20">
        <v>961.68</v>
      </c>
    </row>
    <row r="305" spans="1:22" ht="16.8" x14ac:dyDescent="0.3">
      <c r="A305" s="20">
        <v>30.5</v>
      </c>
      <c r="B305" s="20">
        <v>49.93</v>
      </c>
      <c r="C305" s="20">
        <v>50</v>
      </c>
      <c r="D305" s="20">
        <v>7.0000000000000007E-2</v>
      </c>
      <c r="E305" s="20">
        <v>-0.04</v>
      </c>
      <c r="F305" s="20">
        <v>892.79</v>
      </c>
      <c r="Q305" s="20">
        <v>30.4</v>
      </c>
      <c r="R305" s="20">
        <v>50</v>
      </c>
      <c r="S305" s="20">
        <v>50.4</v>
      </c>
      <c r="T305" s="20">
        <v>-0.4</v>
      </c>
      <c r="U305" s="20">
        <v>0.08</v>
      </c>
      <c r="V305" s="20">
        <v>1165.33</v>
      </c>
    </row>
    <row r="306" spans="1:22" ht="16.8" x14ac:dyDescent="0.3">
      <c r="A306" s="20">
        <v>30.6</v>
      </c>
      <c r="B306" s="20">
        <v>49.93</v>
      </c>
      <c r="C306" s="20">
        <v>50</v>
      </c>
      <c r="D306" s="20">
        <v>7.0000000000000007E-2</v>
      </c>
      <c r="E306" s="20">
        <v>0</v>
      </c>
      <c r="F306" s="20">
        <v>894.45</v>
      </c>
      <c r="Q306" s="25">
        <v>30.5</v>
      </c>
      <c r="R306" s="20">
        <v>50</v>
      </c>
      <c r="S306" s="20">
        <v>50.45</v>
      </c>
      <c r="T306" s="20">
        <v>-0.45</v>
      </c>
      <c r="U306" s="20">
        <v>-0.05</v>
      </c>
      <c r="V306" s="20">
        <v>974.54</v>
      </c>
    </row>
    <row r="307" spans="1:22" ht="16.8" x14ac:dyDescent="0.3">
      <c r="A307" s="20">
        <v>30.7</v>
      </c>
      <c r="B307" s="20">
        <v>49.94</v>
      </c>
      <c r="C307" s="20">
        <v>50</v>
      </c>
      <c r="D307" s="20">
        <v>0.06</v>
      </c>
      <c r="E307" s="20">
        <v>-0.01</v>
      </c>
      <c r="F307" s="20">
        <v>892.41</v>
      </c>
      <c r="Q307" s="25">
        <v>30.6</v>
      </c>
      <c r="R307" s="20">
        <v>50</v>
      </c>
      <c r="S307" s="20">
        <v>50.43</v>
      </c>
      <c r="T307" s="20">
        <v>-0.43</v>
      </c>
      <c r="U307" s="20">
        <v>0.02</v>
      </c>
      <c r="V307" s="20">
        <v>1036.73</v>
      </c>
    </row>
    <row r="308" spans="1:22" ht="16.8" x14ac:dyDescent="0.3">
      <c r="A308" s="20">
        <v>30.8</v>
      </c>
      <c r="B308" s="20">
        <v>49.93</v>
      </c>
      <c r="C308" s="20">
        <v>50</v>
      </c>
      <c r="D308" s="20">
        <v>7.0000000000000007E-2</v>
      </c>
      <c r="E308" s="20">
        <v>0.01</v>
      </c>
      <c r="F308" s="20">
        <v>894.19</v>
      </c>
      <c r="Q308" s="20">
        <v>30.7</v>
      </c>
      <c r="R308" s="20">
        <v>50</v>
      </c>
      <c r="S308" s="20">
        <v>50.45</v>
      </c>
      <c r="T308" s="20">
        <v>-0.45</v>
      </c>
      <c r="U308" s="20">
        <v>-0.02</v>
      </c>
      <c r="V308" s="20">
        <v>972.78</v>
      </c>
    </row>
    <row r="309" spans="1:22" ht="16.8" x14ac:dyDescent="0.3">
      <c r="A309" s="20">
        <v>30.9</v>
      </c>
      <c r="B309" s="20">
        <v>49.9</v>
      </c>
      <c r="C309" s="20">
        <v>50</v>
      </c>
      <c r="D309" s="20">
        <v>0.1</v>
      </c>
      <c r="E309" s="20">
        <v>0.03</v>
      </c>
      <c r="F309" s="20">
        <v>899.81</v>
      </c>
      <c r="Q309" s="25">
        <v>30.8</v>
      </c>
      <c r="R309" s="20">
        <v>50</v>
      </c>
      <c r="S309" s="20">
        <v>50.41</v>
      </c>
      <c r="T309" s="20">
        <v>-0.41</v>
      </c>
      <c r="U309" s="20">
        <v>0.05</v>
      </c>
      <c r="V309" s="20">
        <v>1105.6300000000001</v>
      </c>
    </row>
    <row r="310" spans="1:22" ht="16.8" x14ac:dyDescent="0.3">
      <c r="A310" s="20">
        <v>31</v>
      </c>
      <c r="B310" s="20">
        <v>49.93</v>
      </c>
      <c r="C310" s="20">
        <v>50</v>
      </c>
      <c r="D310" s="20">
        <v>7.0000000000000007E-2</v>
      </c>
      <c r="E310" s="20">
        <v>-0.04</v>
      </c>
      <c r="F310" s="20">
        <v>893.04</v>
      </c>
      <c r="Q310" s="20">
        <v>30.9</v>
      </c>
      <c r="R310" s="20">
        <v>50</v>
      </c>
      <c r="S310" s="20">
        <v>50.46</v>
      </c>
      <c r="T310" s="20">
        <v>-0.46</v>
      </c>
      <c r="U310" s="20">
        <v>-0.06</v>
      </c>
      <c r="V310" s="20">
        <v>969.19</v>
      </c>
    </row>
    <row r="311" spans="1:22" ht="16.8" x14ac:dyDescent="0.3">
      <c r="A311" s="20">
        <v>31.1</v>
      </c>
      <c r="B311" s="20">
        <v>49.96</v>
      </c>
      <c r="C311" s="20">
        <v>50</v>
      </c>
      <c r="D311" s="20">
        <v>0.04</v>
      </c>
      <c r="E311" s="20">
        <v>-0.03</v>
      </c>
      <c r="F311" s="20">
        <v>888.96</v>
      </c>
      <c r="Q311" s="25">
        <v>31</v>
      </c>
      <c r="R311" s="20">
        <v>50</v>
      </c>
      <c r="S311" s="20">
        <v>50.37</v>
      </c>
      <c r="T311" s="20">
        <v>-0.37</v>
      </c>
      <c r="U311" s="20">
        <v>0.09</v>
      </c>
      <c r="V311" s="20">
        <v>1187.17</v>
      </c>
    </row>
    <row r="312" spans="1:22" ht="16.8" x14ac:dyDescent="0.3">
      <c r="A312" s="20">
        <v>31.2</v>
      </c>
      <c r="B312" s="20">
        <v>49.94</v>
      </c>
      <c r="C312" s="20">
        <v>50</v>
      </c>
      <c r="D312" s="20">
        <v>0.06</v>
      </c>
      <c r="E312" s="20">
        <v>0.02</v>
      </c>
      <c r="F312" s="20">
        <v>893.13</v>
      </c>
      <c r="Q312" s="25">
        <v>31.1</v>
      </c>
      <c r="R312" s="20">
        <v>50</v>
      </c>
      <c r="S312" s="20">
        <v>50.45</v>
      </c>
      <c r="T312" s="20">
        <v>-0.45</v>
      </c>
      <c r="U312" s="20">
        <v>-0.08</v>
      </c>
      <c r="V312" s="20">
        <v>972.78</v>
      </c>
    </row>
    <row r="313" spans="1:22" ht="16.8" x14ac:dyDescent="0.3">
      <c r="A313" s="20">
        <v>31.3</v>
      </c>
      <c r="B313" s="20">
        <v>49.93</v>
      </c>
      <c r="C313" s="20">
        <v>50</v>
      </c>
      <c r="D313" s="20">
        <v>7.0000000000000007E-2</v>
      </c>
      <c r="E313" s="20">
        <v>0.01</v>
      </c>
      <c r="F313" s="20">
        <v>894.26</v>
      </c>
      <c r="Q313" s="20">
        <v>31.2</v>
      </c>
      <c r="R313" s="20">
        <v>50</v>
      </c>
      <c r="S313" s="20">
        <v>50.39</v>
      </c>
      <c r="T313" s="20">
        <v>-0.39</v>
      </c>
      <c r="U313" s="20">
        <v>0.06</v>
      </c>
      <c r="V313" s="20">
        <v>1138.82</v>
      </c>
    </row>
    <row r="314" spans="1:22" ht="16.8" x14ac:dyDescent="0.3">
      <c r="A314" s="20">
        <v>31.4</v>
      </c>
      <c r="B314" s="20">
        <v>49.94</v>
      </c>
      <c r="C314" s="20">
        <v>50</v>
      </c>
      <c r="D314" s="20">
        <v>0.06</v>
      </c>
      <c r="E314" s="20">
        <v>0</v>
      </c>
      <c r="F314" s="20">
        <v>893.53</v>
      </c>
      <c r="Q314" s="25">
        <v>31.3</v>
      </c>
      <c r="R314" s="20">
        <v>50</v>
      </c>
      <c r="S314" s="20">
        <v>50.47</v>
      </c>
      <c r="T314" s="20">
        <v>-0.47</v>
      </c>
      <c r="U314" s="20">
        <v>-0.08</v>
      </c>
      <c r="V314" s="20">
        <v>963.6</v>
      </c>
    </row>
    <row r="315" spans="1:22" ht="16.8" x14ac:dyDescent="0.3">
      <c r="A315" s="20">
        <v>31.5</v>
      </c>
      <c r="B315" s="20">
        <v>49.95</v>
      </c>
      <c r="C315" s="20">
        <v>50</v>
      </c>
      <c r="D315" s="20">
        <v>0.05</v>
      </c>
      <c r="E315" s="20">
        <v>-0.01</v>
      </c>
      <c r="F315" s="20">
        <v>892.33</v>
      </c>
      <c r="Q315" s="20">
        <v>31.4</v>
      </c>
      <c r="R315" s="20">
        <v>50</v>
      </c>
      <c r="S315" s="20">
        <v>50.36</v>
      </c>
      <c r="T315" s="20">
        <v>-0.36</v>
      </c>
      <c r="U315" s="20">
        <v>0.12</v>
      </c>
      <c r="V315" s="20">
        <v>1221.6600000000001</v>
      </c>
    </row>
    <row r="316" spans="1:22" ht="16.8" x14ac:dyDescent="0.3">
      <c r="A316" s="20">
        <v>31.6</v>
      </c>
      <c r="B316" s="20">
        <v>49.91</v>
      </c>
      <c r="C316" s="20">
        <v>50</v>
      </c>
      <c r="D316" s="20">
        <v>0.09</v>
      </c>
      <c r="E316" s="20">
        <v>0.04</v>
      </c>
      <c r="F316" s="20">
        <v>898.95</v>
      </c>
      <c r="Q316" s="25">
        <v>31.5</v>
      </c>
      <c r="R316" s="20">
        <v>50</v>
      </c>
      <c r="S316" s="20">
        <v>50.53</v>
      </c>
      <c r="T316" s="20">
        <v>-0.53</v>
      </c>
      <c r="U316" s="20">
        <v>-0.17</v>
      </c>
      <c r="V316" s="20">
        <v>935.39</v>
      </c>
    </row>
    <row r="317" spans="1:22" ht="16.8" x14ac:dyDescent="0.3">
      <c r="A317" s="20">
        <v>31.7</v>
      </c>
      <c r="B317" s="20">
        <v>49.96</v>
      </c>
      <c r="C317" s="20">
        <v>50</v>
      </c>
      <c r="D317" s="20">
        <v>0.04</v>
      </c>
      <c r="E317" s="20">
        <v>-0.05</v>
      </c>
      <c r="F317" s="20">
        <v>889.95</v>
      </c>
      <c r="Q317" s="25">
        <v>31.6</v>
      </c>
      <c r="R317" s="20">
        <v>50</v>
      </c>
      <c r="S317" s="20">
        <v>50.37</v>
      </c>
      <c r="T317" s="20">
        <v>-0.37</v>
      </c>
      <c r="U317" s="20">
        <v>0.16</v>
      </c>
      <c r="V317" s="20">
        <v>1268.1400000000001</v>
      </c>
    </row>
    <row r="318" spans="1:22" ht="16.8" x14ac:dyDescent="0.3">
      <c r="A318" s="20">
        <v>31.8</v>
      </c>
      <c r="B318" s="20">
        <v>49.95</v>
      </c>
      <c r="C318" s="20">
        <v>50</v>
      </c>
      <c r="D318" s="20">
        <v>0.05</v>
      </c>
      <c r="E318" s="20">
        <v>0.01</v>
      </c>
      <c r="F318" s="20">
        <v>893.12</v>
      </c>
      <c r="Q318" s="20">
        <v>31.7</v>
      </c>
      <c r="R318" s="20">
        <v>50</v>
      </c>
      <c r="S318" s="20">
        <v>50.5</v>
      </c>
      <c r="T318" s="20">
        <v>-0.5</v>
      </c>
      <c r="U318" s="20">
        <v>-0.13</v>
      </c>
      <c r="V318" s="20">
        <v>949.28</v>
      </c>
    </row>
    <row r="319" spans="1:22" ht="16.8" x14ac:dyDescent="0.3">
      <c r="A319" s="20">
        <v>31.9</v>
      </c>
      <c r="B319" s="20">
        <v>49.91</v>
      </c>
      <c r="C319" s="20">
        <v>50</v>
      </c>
      <c r="D319" s="20">
        <v>0.09</v>
      </c>
      <c r="E319" s="20">
        <v>0.04</v>
      </c>
      <c r="F319" s="20">
        <v>899.33</v>
      </c>
      <c r="Q319" s="25">
        <v>31.8</v>
      </c>
      <c r="R319" s="20">
        <v>50</v>
      </c>
      <c r="S319" s="20">
        <v>50.37</v>
      </c>
      <c r="T319" s="20">
        <v>-0.37</v>
      </c>
      <c r="U319" s="20">
        <v>0.13</v>
      </c>
      <c r="V319" s="20">
        <v>1235.8499999999999</v>
      </c>
    </row>
    <row r="320" spans="1:22" ht="16.8" x14ac:dyDescent="0.3">
      <c r="A320" s="20">
        <v>32</v>
      </c>
      <c r="B320" s="20">
        <v>49.94</v>
      </c>
      <c r="C320" s="20">
        <v>50</v>
      </c>
      <c r="D320" s="20">
        <v>0.06</v>
      </c>
      <c r="E320" s="20">
        <v>-0.03</v>
      </c>
      <c r="F320" s="20">
        <v>893.86</v>
      </c>
      <c r="Q320" s="20">
        <v>31.9</v>
      </c>
      <c r="R320" s="20">
        <v>50</v>
      </c>
      <c r="S320" s="20">
        <v>50.52</v>
      </c>
      <c r="T320" s="20">
        <v>-0.52</v>
      </c>
      <c r="U320" s="20">
        <v>-0.15</v>
      </c>
      <c r="V320" s="20">
        <v>937.83</v>
      </c>
    </row>
    <row r="321" spans="1:22" ht="16.8" x14ac:dyDescent="0.3">
      <c r="A321" s="20">
        <v>32.1</v>
      </c>
      <c r="B321" s="20">
        <v>49.97</v>
      </c>
      <c r="C321" s="20">
        <v>50</v>
      </c>
      <c r="D321" s="20">
        <v>0.03</v>
      </c>
      <c r="E321" s="20">
        <v>-0.03</v>
      </c>
      <c r="F321" s="20">
        <v>889.62</v>
      </c>
      <c r="Q321" s="25">
        <v>32</v>
      </c>
      <c r="R321" s="20">
        <v>50</v>
      </c>
      <c r="S321" s="20">
        <v>50.38</v>
      </c>
      <c r="T321" s="20">
        <v>-0.38</v>
      </c>
      <c r="U321" s="20">
        <v>0.14000000000000001</v>
      </c>
      <c r="V321" s="20">
        <v>1249.95</v>
      </c>
    </row>
    <row r="322" spans="1:22" ht="16.8" x14ac:dyDescent="0.3">
      <c r="A322" s="20">
        <v>32.200000000000003</v>
      </c>
      <c r="B322" s="20">
        <v>49.91</v>
      </c>
      <c r="C322" s="20">
        <v>50</v>
      </c>
      <c r="D322" s="20">
        <v>0.09</v>
      </c>
      <c r="E322" s="20">
        <v>0.05</v>
      </c>
      <c r="F322" s="20">
        <v>899.42</v>
      </c>
      <c r="Q322" s="25">
        <v>32.1</v>
      </c>
      <c r="R322" s="20">
        <v>50</v>
      </c>
      <c r="S322" s="20">
        <v>50.6</v>
      </c>
      <c r="T322" s="20">
        <v>-0.6</v>
      </c>
      <c r="U322" s="20">
        <v>-0.21</v>
      </c>
      <c r="V322" s="20">
        <v>883.73</v>
      </c>
    </row>
    <row r="323" spans="1:22" ht="16.8" x14ac:dyDescent="0.3">
      <c r="A323" s="20">
        <v>32.299999999999997</v>
      </c>
      <c r="B323" s="20">
        <v>49.96</v>
      </c>
      <c r="C323" s="20">
        <v>50</v>
      </c>
      <c r="D323" s="20">
        <v>0.04</v>
      </c>
      <c r="E323" s="20">
        <v>-0.05</v>
      </c>
      <c r="F323" s="20">
        <v>890.09</v>
      </c>
      <c r="Q323" s="20">
        <v>32.200000000000003</v>
      </c>
      <c r="R323" s="20">
        <v>50</v>
      </c>
      <c r="S323" s="20">
        <v>50.43</v>
      </c>
      <c r="T323" s="20">
        <v>-0.43</v>
      </c>
      <c r="U323" s="20">
        <v>0.17</v>
      </c>
      <c r="V323" s="20">
        <v>1280.71</v>
      </c>
    </row>
    <row r="324" spans="1:22" ht="16.8" x14ac:dyDescent="0.3">
      <c r="A324" s="20">
        <v>32.4</v>
      </c>
      <c r="B324" s="20">
        <v>49.98</v>
      </c>
      <c r="C324" s="20">
        <v>50</v>
      </c>
      <c r="D324" s="20">
        <v>0.02</v>
      </c>
      <c r="E324" s="20">
        <v>-0.02</v>
      </c>
      <c r="F324" s="20">
        <v>888.31</v>
      </c>
      <c r="Q324" s="25">
        <v>32.299999999999997</v>
      </c>
      <c r="R324" s="20">
        <v>50</v>
      </c>
      <c r="S324" s="20">
        <v>50.62</v>
      </c>
      <c r="T324" s="20">
        <v>-0.62</v>
      </c>
      <c r="U324" s="20">
        <v>-0.19</v>
      </c>
      <c r="V324" s="20">
        <v>858.96</v>
      </c>
    </row>
    <row r="325" spans="1:22" ht="16.8" x14ac:dyDescent="0.3">
      <c r="A325" s="20">
        <v>32.5</v>
      </c>
      <c r="B325" s="20">
        <v>49.98</v>
      </c>
      <c r="C325" s="20">
        <v>50</v>
      </c>
      <c r="D325" s="20">
        <v>0.02</v>
      </c>
      <c r="E325" s="20">
        <v>0</v>
      </c>
      <c r="F325" s="20">
        <v>889.38</v>
      </c>
      <c r="Q325" s="20">
        <v>32.4</v>
      </c>
      <c r="R325" s="20">
        <v>50</v>
      </c>
      <c r="S325" s="20">
        <v>50.45</v>
      </c>
      <c r="T325" s="20">
        <v>-0.45</v>
      </c>
      <c r="U325" s="20">
        <v>0.17</v>
      </c>
      <c r="V325" s="20">
        <v>1277.2</v>
      </c>
    </row>
    <row r="326" spans="1:22" ht="16.8" x14ac:dyDescent="0.3">
      <c r="A326" s="20">
        <v>32.6</v>
      </c>
      <c r="B326" s="20">
        <v>49.96</v>
      </c>
      <c r="C326" s="20">
        <v>50</v>
      </c>
      <c r="D326" s="20">
        <v>0.04</v>
      </c>
      <c r="E326" s="20">
        <v>0.02</v>
      </c>
      <c r="F326" s="20">
        <v>892.17</v>
      </c>
      <c r="Q326" s="25">
        <v>32.5</v>
      </c>
      <c r="R326" s="20">
        <v>50</v>
      </c>
      <c r="S326" s="20">
        <v>50.65</v>
      </c>
      <c r="T326" s="20">
        <v>-0.65</v>
      </c>
      <c r="U326" s="20">
        <v>-0.2</v>
      </c>
      <c r="V326" s="20">
        <v>817.49</v>
      </c>
    </row>
    <row r="327" spans="1:22" ht="16.8" x14ac:dyDescent="0.3">
      <c r="A327" s="20">
        <v>32.700000000000003</v>
      </c>
      <c r="B327" s="20">
        <v>49.97</v>
      </c>
      <c r="C327" s="20">
        <v>50</v>
      </c>
      <c r="D327" s="20">
        <v>0.03</v>
      </c>
      <c r="E327" s="20">
        <v>-0.01</v>
      </c>
      <c r="F327" s="20">
        <v>890.53</v>
      </c>
      <c r="Q327" s="25">
        <v>32.6</v>
      </c>
      <c r="R327" s="20">
        <v>50</v>
      </c>
      <c r="S327" s="20">
        <v>50.49</v>
      </c>
      <c r="T327" s="20">
        <v>-0.49</v>
      </c>
      <c r="U327" s="20">
        <v>0.17</v>
      </c>
      <c r="V327" s="20">
        <v>1278.77</v>
      </c>
    </row>
    <row r="328" spans="1:22" ht="16.8" x14ac:dyDescent="0.3">
      <c r="A328" s="20">
        <v>32.799999999999997</v>
      </c>
      <c r="B328" s="20">
        <v>49.97</v>
      </c>
      <c r="C328" s="20">
        <v>50</v>
      </c>
      <c r="D328" s="20">
        <v>0.03</v>
      </c>
      <c r="E328" s="20">
        <v>0</v>
      </c>
      <c r="F328" s="20">
        <v>890.05</v>
      </c>
      <c r="Q328" s="20">
        <v>32.700000000000003</v>
      </c>
      <c r="R328" s="20">
        <v>50</v>
      </c>
      <c r="S328" s="20">
        <v>50.66</v>
      </c>
      <c r="T328" s="20">
        <v>-0.66</v>
      </c>
      <c r="U328" s="20">
        <v>-0.17</v>
      </c>
      <c r="V328" s="20">
        <v>805.06</v>
      </c>
    </row>
    <row r="329" spans="1:22" ht="16.8" x14ac:dyDescent="0.3">
      <c r="A329" s="20">
        <v>32.9</v>
      </c>
      <c r="B329" s="20">
        <v>49.99</v>
      </c>
      <c r="C329" s="20">
        <v>50</v>
      </c>
      <c r="D329" s="20">
        <v>0.01</v>
      </c>
      <c r="E329" s="20">
        <v>-0.02</v>
      </c>
      <c r="F329" s="20">
        <v>887.37</v>
      </c>
      <c r="Q329" s="25">
        <v>32.799999999999997</v>
      </c>
      <c r="R329" s="20">
        <v>50</v>
      </c>
      <c r="S329" s="20">
        <v>50.54</v>
      </c>
      <c r="T329" s="20">
        <v>-0.54</v>
      </c>
      <c r="U329" s="20">
        <v>0.12</v>
      </c>
      <c r="V329" s="20">
        <v>1215.8599999999999</v>
      </c>
    </row>
    <row r="330" spans="1:22" ht="16.8" x14ac:dyDescent="0.3">
      <c r="A330" s="20">
        <v>33</v>
      </c>
      <c r="B330" s="20">
        <v>49.96</v>
      </c>
      <c r="C330" s="20">
        <v>50</v>
      </c>
      <c r="D330" s="20">
        <v>0.04</v>
      </c>
      <c r="E330" s="20">
        <v>0.02</v>
      </c>
      <c r="F330" s="20">
        <v>891.95</v>
      </c>
      <c r="Q330" s="20">
        <v>32.9</v>
      </c>
      <c r="R330" s="20">
        <v>50</v>
      </c>
      <c r="S330" s="20">
        <v>50.69</v>
      </c>
      <c r="T330" s="20">
        <v>-0.69</v>
      </c>
      <c r="U330" s="20">
        <v>-0.15</v>
      </c>
      <c r="V330" s="20">
        <v>752.8</v>
      </c>
    </row>
    <row r="331" spans="1:22" ht="16.8" x14ac:dyDescent="0.3">
      <c r="A331" s="20">
        <v>33.1</v>
      </c>
      <c r="B331" s="20">
        <v>49.98</v>
      </c>
      <c r="C331" s="20">
        <v>65</v>
      </c>
      <c r="D331" s="20">
        <v>15.02</v>
      </c>
      <c r="E331" s="20">
        <v>14.98</v>
      </c>
      <c r="F331" s="20">
        <v>4095</v>
      </c>
      <c r="Q331" s="25">
        <v>33</v>
      </c>
      <c r="R331" s="20">
        <v>50</v>
      </c>
      <c r="S331" s="20">
        <v>50.58</v>
      </c>
      <c r="T331" s="20">
        <v>-0.57999999999999996</v>
      </c>
      <c r="U331" s="20">
        <v>0.11</v>
      </c>
      <c r="V331" s="20">
        <v>1209.71</v>
      </c>
    </row>
    <row r="332" spans="1:22" ht="16.8" x14ac:dyDescent="0.3">
      <c r="A332" s="20">
        <v>33.200000000000003</v>
      </c>
      <c r="B332" s="20">
        <v>50.64</v>
      </c>
      <c r="C332" s="20">
        <v>65</v>
      </c>
      <c r="D332" s="20">
        <v>14.36</v>
      </c>
      <c r="E332" s="20">
        <v>-0.66</v>
      </c>
      <c r="F332" s="20">
        <v>2918.48</v>
      </c>
      <c r="Q332" s="20">
        <v>33.1</v>
      </c>
      <c r="R332" s="20">
        <v>65</v>
      </c>
      <c r="S332" s="20">
        <v>50.74</v>
      </c>
      <c r="T332" s="20">
        <v>14.26</v>
      </c>
      <c r="U332" s="20">
        <v>6</v>
      </c>
      <c r="V332" s="20">
        <v>2048</v>
      </c>
    </row>
    <row r="333" spans="1:22" ht="16.8" x14ac:dyDescent="0.3">
      <c r="A333" s="20">
        <v>33.299999999999997</v>
      </c>
      <c r="B333" s="20">
        <v>50.04</v>
      </c>
      <c r="C333" s="20">
        <v>65</v>
      </c>
      <c r="D333" s="20">
        <v>14.96</v>
      </c>
      <c r="E333" s="20">
        <v>0.6</v>
      </c>
      <c r="F333" s="20">
        <v>3881.41</v>
      </c>
      <c r="Q333" s="25">
        <v>33.200000000000003</v>
      </c>
      <c r="R333" s="20">
        <v>65</v>
      </c>
      <c r="S333" s="20">
        <v>50.69</v>
      </c>
      <c r="T333" s="20">
        <v>14.31</v>
      </c>
      <c r="U333" s="20">
        <v>0.05</v>
      </c>
      <c r="V333" s="20">
        <v>3078.99</v>
      </c>
    </row>
    <row r="334" spans="1:22" ht="16.8" x14ac:dyDescent="0.3">
      <c r="A334" s="20">
        <v>33.4</v>
      </c>
      <c r="B334" s="20">
        <v>50.69</v>
      </c>
      <c r="C334" s="20">
        <v>65</v>
      </c>
      <c r="D334" s="20">
        <v>14.31</v>
      </c>
      <c r="E334" s="20">
        <v>-0.65</v>
      </c>
      <c r="F334" s="20">
        <v>2989.52</v>
      </c>
      <c r="Q334" s="25">
        <v>33.299999999999997</v>
      </c>
      <c r="R334" s="20">
        <v>65</v>
      </c>
      <c r="S334" s="20">
        <v>50.78</v>
      </c>
      <c r="T334" s="20">
        <v>14.22</v>
      </c>
      <c r="U334" s="20">
        <v>-0.1</v>
      </c>
      <c r="V334" s="20">
        <v>3134.5</v>
      </c>
    </row>
    <row r="335" spans="1:22" ht="16.8" x14ac:dyDescent="0.3">
      <c r="A335" s="20">
        <v>33.5</v>
      </c>
      <c r="B335" s="20">
        <v>50.11</v>
      </c>
      <c r="C335" s="20">
        <v>65</v>
      </c>
      <c r="D335" s="20">
        <v>14.89</v>
      </c>
      <c r="E335" s="20">
        <v>0.57999999999999996</v>
      </c>
      <c r="F335" s="20">
        <v>3921.3</v>
      </c>
      <c r="Q335" s="20">
        <v>33.4</v>
      </c>
      <c r="R335" s="20">
        <v>65</v>
      </c>
      <c r="S335" s="20">
        <v>50.76</v>
      </c>
      <c r="T335" s="20">
        <v>14.24</v>
      </c>
      <c r="U335" s="20">
        <v>0.02</v>
      </c>
      <c r="V335" s="20">
        <v>3106.03</v>
      </c>
    </row>
    <row r="336" spans="1:22" ht="16.8" x14ac:dyDescent="0.3">
      <c r="A336" s="20">
        <v>33.6</v>
      </c>
      <c r="B336" s="20">
        <v>50.97</v>
      </c>
      <c r="C336" s="20">
        <v>65</v>
      </c>
      <c r="D336" s="20">
        <v>14.03</v>
      </c>
      <c r="E336" s="20">
        <v>-0.85</v>
      </c>
      <c r="F336" s="20">
        <v>2879.45</v>
      </c>
      <c r="Q336" s="25">
        <v>33.5</v>
      </c>
      <c r="R336" s="20">
        <v>65</v>
      </c>
      <c r="S336" s="20">
        <v>50.79</v>
      </c>
      <c r="T336" s="20">
        <v>14.21</v>
      </c>
      <c r="U336" s="20">
        <v>-0.03</v>
      </c>
      <c r="V336" s="20">
        <v>3133.74</v>
      </c>
    </row>
    <row r="337" spans="1:22" ht="16.8" x14ac:dyDescent="0.3">
      <c r="A337" s="20">
        <v>33.700000000000003</v>
      </c>
      <c r="B337" s="20">
        <v>50.47</v>
      </c>
      <c r="C337" s="20">
        <v>65</v>
      </c>
      <c r="D337" s="20">
        <v>14.53</v>
      </c>
      <c r="E337" s="20">
        <v>0.5</v>
      </c>
      <c r="F337" s="20">
        <v>3879.38</v>
      </c>
      <c r="Q337" s="20">
        <v>33.6</v>
      </c>
      <c r="R337" s="20">
        <v>65</v>
      </c>
      <c r="S337" s="20">
        <v>50.9</v>
      </c>
      <c r="T337" s="20">
        <v>14.1</v>
      </c>
      <c r="U337" s="20">
        <v>-0.11</v>
      </c>
      <c r="V337" s="20">
        <v>3123.49</v>
      </c>
    </row>
    <row r="338" spans="1:22" ht="16.8" x14ac:dyDescent="0.3">
      <c r="A338" s="26">
        <v>33.799999999999997</v>
      </c>
      <c r="B338" s="26">
        <v>51.37</v>
      </c>
      <c r="C338" s="20">
        <v>65</v>
      </c>
      <c r="D338" s="20">
        <v>13.63</v>
      </c>
      <c r="E338" s="20">
        <v>-0.89</v>
      </c>
      <c r="F338" s="20">
        <v>2856.52</v>
      </c>
      <c r="Q338" s="25">
        <v>33.700000000000003</v>
      </c>
      <c r="R338" s="20">
        <v>65</v>
      </c>
      <c r="S338" s="20">
        <v>50.98</v>
      </c>
      <c r="T338" s="20">
        <v>14.02</v>
      </c>
      <c r="U338" s="20">
        <v>-0.08</v>
      </c>
      <c r="V338" s="20">
        <v>3115.83</v>
      </c>
    </row>
    <row r="339" spans="1:22" ht="16.8" x14ac:dyDescent="0.3">
      <c r="A339" s="26">
        <v>33.9</v>
      </c>
      <c r="B339" s="26">
        <v>50.99</v>
      </c>
      <c r="C339" s="20">
        <v>65</v>
      </c>
      <c r="D339" s="20">
        <v>14.01</v>
      </c>
      <c r="E339" s="20">
        <v>0.37</v>
      </c>
      <c r="F339" s="20">
        <v>3779.62</v>
      </c>
      <c r="Q339" s="25">
        <v>33.799999999999997</v>
      </c>
      <c r="R339" s="20">
        <v>65</v>
      </c>
      <c r="S339" s="20">
        <v>51.16</v>
      </c>
      <c r="T339" s="20">
        <v>13.84</v>
      </c>
      <c r="U339" s="20">
        <v>-0.18</v>
      </c>
      <c r="V339" s="20">
        <v>3098.33</v>
      </c>
    </row>
    <row r="340" spans="1:22" ht="16.8" x14ac:dyDescent="0.3">
      <c r="A340" s="26">
        <v>34</v>
      </c>
      <c r="B340" s="26">
        <v>51.91</v>
      </c>
      <c r="C340" s="20">
        <v>65</v>
      </c>
      <c r="D340" s="20">
        <v>13.09</v>
      </c>
      <c r="E340" s="20">
        <v>-0.91</v>
      </c>
      <c r="F340" s="20">
        <v>2820.94</v>
      </c>
      <c r="Q340" s="20">
        <v>33.9</v>
      </c>
      <c r="R340" s="20">
        <v>65</v>
      </c>
      <c r="S340" s="20">
        <v>51.26</v>
      </c>
      <c r="T340" s="20">
        <v>13.74</v>
      </c>
      <c r="U340" s="20">
        <v>-0.1</v>
      </c>
      <c r="V340" s="20">
        <v>3088.45</v>
      </c>
    </row>
    <row r="341" spans="1:22" ht="16.8" x14ac:dyDescent="0.3">
      <c r="A341" s="26">
        <v>34.1</v>
      </c>
      <c r="B341" s="26">
        <v>51.64</v>
      </c>
      <c r="C341" s="20">
        <v>65</v>
      </c>
      <c r="D341" s="20">
        <v>13.36</v>
      </c>
      <c r="E341" s="20">
        <v>0.27</v>
      </c>
      <c r="F341" s="20">
        <v>3673.46</v>
      </c>
      <c r="Q341" s="25">
        <v>34</v>
      </c>
      <c r="R341" s="20">
        <v>65</v>
      </c>
      <c r="S341" s="20">
        <v>51.48</v>
      </c>
      <c r="T341" s="20">
        <v>13.52</v>
      </c>
      <c r="U341" s="20">
        <v>-0.22</v>
      </c>
      <c r="V341" s="20">
        <v>3066.75</v>
      </c>
    </row>
    <row r="342" spans="1:22" ht="16.8" x14ac:dyDescent="0.3">
      <c r="A342" s="26">
        <v>34.200000000000003</v>
      </c>
      <c r="B342" s="26">
        <v>52.37</v>
      </c>
      <c r="C342" s="20">
        <v>65</v>
      </c>
      <c r="D342" s="20">
        <v>12.63</v>
      </c>
      <c r="E342" s="20">
        <v>-0.73</v>
      </c>
      <c r="F342" s="20">
        <v>2927.82</v>
      </c>
      <c r="Q342" s="20">
        <v>34.1</v>
      </c>
      <c r="R342" s="20">
        <v>65</v>
      </c>
      <c r="S342" s="20">
        <v>51.76</v>
      </c>
      <c r="T342" s="20">
        <v>13.24</v>
      </c>
      <c r="U342" s="20">
        <v>-0.28000000000000003</v>
      </c>
      <c r="V342" s="20">
        <v>3088.15</v>
      </c>
    </row>
    <row r="343" spans="1:22" ht="16.8" x14ac:dyDescent="0.3">
      <c r="A343" s="26">
        <v>34.299999999999997</v>
      </c>
      <c r="B343" s="26">
        <v>52.29</v>
      </c>
      <c r="C343" s="20">
        <v>65</v>
      </c>
      <c r="D343" s="20">
        <v>12.71</v>
      </c>
      <c r="E343" s="20">
        <v>0.08</v>
      </c>
      <c r="F343" s="20">
        <v>3505.18</v>
      </c>
      <c r="Q343" s="25">
        <v>34.200000000000003</v>
      </c>
      <c r="R343" s="20">
        <v>65</v>
      </c>
      <c r="S343" s="20">
        <v>51.98</v>
      </c>
      <c r="T343" s="20">
        <v>13.02</v>
      </c>
      <c r="U343" s="20">
        <v>-0.22</v>
      </c>
      <c r="V343" s="20">
        <v>3028.45</v>
      </c>
    </row>
    <row r="344" spans="1:22" ht="16.8" x14ac:dyDescent="0.3">
      <c r="A344" s="26">
        <v>34.4</v>
      </c>
      <c r="B344" s="26">
        <v>52.76</v>
      </c>
      <c r="C344" s="20">
        <v>65</v>
      </c>
      <c r="D344" s="20">
        <v>12.24</v>
      </c>
      <c r="E344" s="20">
        <v>-0.47</v>
      </c>
      <c r="F344" s="20">
        <v>3096.7</v>
      </c>
      <c r="Q344" s="20">
        <v>34.299999999999997</v>
      </c>
      <c r="R344" s="20">
        <v>65</v>
      </c>
      <c r="S344" s="20">
        <v>52.27</v>
      </c>
      <c r="T344" s="20">
        <v>12.73</v>
      </c>
      <c r="U344" s="20">
        <v>-0.28999999999999998</v>
      </c>
      <c r="V344" s="20">
        <v>3061.75</v>
      </c>
    </row>
    <row r="345" spans="1:22" ht="16.8" x14ac:dyDescent="0.3">
      <c r="A345" s="26">
        <v>34.5</v>
      </c>
      <c r="B345" s="26">
        <v>53.13</v>
      </c>
      <c r="C345" s="20">
        <v>65</v>
      </c>
      <c r="D345" s="20">
        <v>11.87</v>
      </c>
      <c r="E345" s="20">
        <v>-0.37</v>
      </c>
      <c r="F345" s="20">
        <v>3135</v>
      </c>
      <c r="Q345" s="25">
        <v>34.4</v>
      </c>
      <c r="R345" s="20">
        <v>65</v>
      </c>
      <c r="S345" s="20">
        <v>52.57</v>
      </c>
      <c r="T345" s="20">
        <v>12.43</v>
      </c>
      <c r="U345" s="20">
        <v>-0.3</v>
      </c>
      <c r="V345" s="20">
        <v>3089.42</v>
      </c>
    </row>
    <row r="346" spans="1:22" ht="16.8" x14ac:dyDescent="0.3">
      <c r="A346" s="26">
        <v>34.6</v>
      </c>
      <c r="B346" s="26">
        <v>53.51</v>
      </c>
      <c r="C346" s="20">
        <v>65</v>
      </c>
      <c r="D346" s="20">
        <v>11.49</v>
      </c>
      <c r="E346" s="20">
        <v>-0.38</v>
      </c>
      <c r="F346" s="20">
        <v>3090.53</v>
      </c>
      <c r="Q346" s="25">
        <v>34.5</v>
      </c>
      <c r="R346" s="20">
        <v>65</v>
      </c>
      <c r="S346" s="20">
        <v>52.9</v>
      </c>
      <c r="T346" s="20">
        <v>12.1</v>
      </c>
      <c r="U346" s="20">
        <v>-0.33</v>
      </c>
      <c r="V346" s="20">
        <v>3135.14</v>
      </c>
    </row>
    <row r="347" spans="1:22" ht="16.8" x14ac:dyDescent="0.3">
      <c r="A347" s="26">
        <v>34.700000000000003</v>
      </c>
      <c r="B347" s="26">
        <v>53.85</v>
      </c>
      <c r="C347" s="20">
        <v>65</v>
      </c>
      <c r="D347" s="20">
        <v>11.15</v>
      </c>
      <c r="E347" s="20">
        <v>-0.34</v>
      </c>
      <c r="F347" s="20">
        <v>3091.98</v>
      </c>
      <c r="Q347" s="20">
        <v>34.6</v>
      </c>
      <c r="R347" s="20">
        <v>65</v>
      </c>
      <c r="S347" s="20">
        <v>53.21</v>
      </c>
      <c r="T347" s="20">
        <v>11.79</v>
      </c>
      <c r="U347" s="20">
        <v>-0.31</v>
      </c>
      <c r="V347" s="20">
        <v>3103.03</v>
      </c>
    </row>
    <row r="348" spans="1:22" ht="16.8" x14ac:dyDescent="0.3">
      <c r="A348" s="26">
        <v>34.799999999999997</v>
      </c>
      <c r="B348" s="26">
        <v>54.26</v>
      </c>
      <c r="C348" s="20">
        <v>65</v>
      </c>
      <c r="D348" s="20">
        <v>10.74</v>
      </c>
      <c r="E348" s="20">
        <v>-0.41</v>
      </c>
      <c r="F348" s="20">
        <v>3004.15</v>
      </c>
      <c r="Q348" s="25">
        <v>34.700000000000003</v>
      </c>
      <c r="R348" s="20">
        <v>65</v>
      </c>
      <c r="S348" s="20">
        <v>53.5</v>
      </c>
      <c r="T348" s="20">
        <v>11.5</v>
      </c>
      <c r="U348" s="20">
        <v>-0.28999999999999998</v>
      </c>
      <c r="V348" s="20">
        <v>3075.49</v>
      </c>
    </row>
    <row r="349" spans="1:22" ht="16.8" x14ac:dyDescent="0.3">
      <c r="A349" s="26">
        <v>34.9</v>
      </c>
      <c r="B349" s="26">
        <v>54.68</v>
      </c>
      <c r="C349" s="20">
        <v>65</v>
      </c>
      <c r="D349" s="20">
        <v>10.32</v>
      </c>
      <c r="E349" s="20">
        <v>-0.42</v>
      </c>
      <c r="F349" s="20">
        <v>2959.64</v>
      </c>
      <c r="Q349" s="25">
        <v>34.799999999999997</v>
      </c>
      <c r="R349" s="20">
        <v>65</v>
      </c>
      <c r="S349" s="20">
        <v>53.87</v>
      </c>
      <c r="T349" s="20">
        <v>11.13</v>
      </c>
      <c r="U349" s="20">
        <v>-0.36</v>
      </c>
      <c r="V349" s="20">
        <v>3186.27</v>
      </c>
    </row>
    <row r="350" spans="1:22" ht="16.8" x14ac:dyDescent="0.3">
      <c r="A350" s="26">
        <v>35</v>
      </c>
      <c r="B350" s="26">
        <v>55.06</v>
      </c>
      <c r="C350" s="20">
        <v>65</v>
      </c>
      <c r="D350" s="20">
        <v>9.94</v>
      </c>
      <c r="E350" s="20">
        <v>-0.38</v>
      </c>
      <c r="F350" s="20">
        <v>2943.14</v>
      </c>
      <c r="Q350" s="20">
        <v>34.9</v>
      </c>
      <c r="R350" s="20">
        <v>65</v>
      </c>
      <c r="S350" s="20">
        <v>54.17</v>
      </c>
      <c r="T350" s="20">
        <v>10.83</v>
      </c>
      <c r="U350" s="20">
        <v>-0.3</v>
      </c>
      <c r="V350" s="20">
        <v>3082.41</v>
      </c>
    </row>
    <row r="351" spans="1:22" ht="16.8" x14ac:dyDescent="0.3">
      <c r="A351" s="26">
        <v>35.1</v>
      </c>
      <c r="B351" s="26">
        <v>55.47</v>
      </c>
      <c r="C351" s="20">
        <v>65</v>
      </c>
      <c r="D351" s="20">
        <v>9.5299999999999994</v>
      </c>
      <c r="E351" s="20">
        <v>-0.41</v>
      </c>
      <c r="F351" s="20">
        <v>2881.49</v>
      </c>
      <c r="Q351" s="25">
        <v>35</v>
      </c>
      <c r="R351" s="20">
        <v>65</v>
      </c>
      <c r="S351" s="20">
        <v>54.51</v>
      </c>
      <c r="T351" s="20">
        <v>10.49</v>
      </c>
      <c r="U351" s="20">
        <v>-0.35</v>
      </c>
      <c r="V351" s="20">
        <v>3160.7</v>
      </c>
    </row>
    <row r="352" spans="1:22" ht="16.8" x14ac:dyDescent="0.3">
      <c r="A352" s="26">
        <v>35.200000000000003</v>
      </c>
      <c r="B352" s="26">
        <v>55.8</v>
      </c>
      <c r="C352" s="20">
        <v>65</v>
      </c>
      <c r="D352" s="20">
        <v>9.1999999999999993</v>
      </c>
      <c r="E352" s="20">
        <v>-0.33</v>
      </c>
      <c r="F352" s="20">
        <v>2903.37</v>
      </c>
      <c r="Q352" s="20">
        <v>35.1</v>
      </c>
      <c r="R352" s="20">
        <v>65</v>
      </c>
      <c r="S352" s="20">
        <v>54.83</v>
      </c>
      <c r="T352" s="20">
        <v>10.17</v>
      </c>
      <c r="U352" s="20">
        <v>-0.31</v>
      </c>
      <c r="V352" s="20">
        <v>3109.47</v>
      </c>
    </row>
    <row r="353" spans="1:22" ht="16.8" x14ac:dyDescent="0.3">
      <c r="A353" s="26">
        <v>35.299999999999997</v>
      </c>
      <c r="B353" s="26">
        <v>56.23</v>
      </c>
      <c r="C353" s="20">
        <v>65</v>
      </c>
      <c r="D353" s="20">
        <v>8.77</v>
      </c>
      <c r="E353" s="20">
        <v>-0.43</v>
      </c>
      <c r="F353" s="20">
        <v>2792.38</v>
      </c>
      <c r="Q353" s="25">
        <v>35.200000000000003</v>
      </c>
      <c r="R353" s="20">
        <v>65</v>
      </c>
      <c r="S353" s="20">
        <v>55.17</v>
      </c>
      <c r="T353" s="20">
        <v>9.83</v>
      </c>
      <c r="U353" s="20">
        <v>-0.34</v>
      </c>
      <c r="V353" s="20">
        <v>3154.34</v>
      </c>
    </row>
    <row r="354" spans="1:22" ht="16.8" x14ac:dyDescent="0.3">
      <c r="A354" s="26">
        <v>35.4</v>
      </c>
      <c r="B354" s="26">
        <v>56.53</v>
      </c>
      <c r="C354" s="20">
        <v>65</v>
      </c>
      <c r="D354" s="20">
        <v>8.4700000000000006</v>
      </c>
      <c r="E354" s="20">
        <v>-0.31</v>
      </c>
      <c r="F354" s="20">
        <v>2842.8</v>
      </c>
      <c r="Q354" s="20">
        <v>35.299999999999997</v>
      </c>
      <c r="R354" s="20">
        <v>65</v>
      </c>
      <c r="S354" s="20">
        <v>55.45</v>
      </c>
      <c r="T354" s="20">
        <v>9.5500000000000007</v>
      </c>
      <c r="U354" s="20">
        <v>-0.28000000000000003</v>
      </c>
      <c r="V354" s="20">
        <v>3054.86</v>
      </c>
    </row>
    <row r="355" spans="1:22" ht="16.8" x14ac:dyDescent="0.3">
      <c r="A355" s="26">
        <v>35.5</v>
      </c>
      <c r="B355" s="26">
        <v>56.89</v>
      </c>
      <c r="C355" s="20">
        <v>65</v>
      </c>
      <c r="D355" s="20">
        <v>8.11</v>
      </c>
      <c r="E355" s="20">
        <v>-0.36</v>
      </c>
      <c r="F355" s="20">
        <v>2770.29</v>
      </c>
      <c r="Q355" s="25">
        <v>35.4</v>
      </c>
      <c r="R355" s="20">
        <v>65</v>
      </c>
      <c r="S355" s="20">
        <v>55.85</v>
      </c>
      <c r="T355" s="20">
        <v>9.15</v>
      </c>
      <c r="U355" s="20">
        <v>-0.39</v>
      </c>
      <c r="V355" s="20">
        <v>3237.21</v>
      </c>
    </row>
    <row r="356" spans="1:22" ht="16.8" x14ac:dyDescent="0.3">
      <c r="A356" s="26">
        <v>35.6</v>
      </c>
      <c r="B356" s="26">
        <v>57.24</v>
      </c>
      <c r="C356" s="20">
        <v>65</v>
      </c>
      <c r="D356" s="20">
        <v>7.76</v>
      </c>
      <c r="E356" s="20">
        <v>-0.34</v>
      </c>
      <c r="F356" s="20">
        <v>2744.5</v>
      </c>
      <c r="Q356" s="25">
        <v>35.5</v>
      </c>
      <c r="R356" s="20">
        <v>65</v>
      </c>
      <c r="S356" s="20">
        <v>56.18</v>
      </c>
      <c r="T356" s="20">
        <v>8.82</v>
      </c>
      <c r="U356" s="20">
        <v>-0.33</v>
      </c>
      <c r="V356" s="20">
        <v>3135.16</v>
      </c>
    </row>
    <row r="357" spans="1:22" ht="16.8" x14ac:dyDescent="0.3">
      <c r="A357" s="26">
        <v>35.700000000000003</v>
      </c>
      <c r="B357" s="26">
        <v>57.57</v>
      </c>
      <c r="C357" s="20">
        <v>65</v>
      </c>
      <c r="D357" s="20">
        <v>7.43</v>
      </c>
      <c r="E357" s="20">
        <v>-0.34</v>
      </c>
      <c r="F357" s="20">
        <v>2710.58</v>
      </c>
      <c r="Q357" s="20">
        <v>35.6</v>
      </c>
      <c r="R357" s="20">
        <v>65</v>
      </c>
      <c r="S357" s="20">
        <v>56.5</v>
      </c>
      <c r="T357" s="20">
        <v>8.5</v>
      </c>
      <c r="U357" s="20">
        <v>-0.33</v>
      </c>
      <c r="V357" s="20">
        <v>3128.71</v>
      </c>
    </row>
    <row r="358" spans="1:22" ht="16.8" x14ac:dyDescent="0.3">
      <c r="A358" s="26">
        <v>35.799999999999997</v>
      </c>
      <c r="B358" s="26">
        <v>57.89</v>
      </c>
      <c r="C358" s="20">
        <v>65</v>
      </c>
      <c r="D358" s="20">
        <v>7.11</v>
      </c>
      <c r="E358" s="20">
        <v>-0.31</v>
      </c>
      <c r="F358" s="20">
        <v>2693.03</v>
      </c>
      <c r="Q358" s="25">
        <v>35.700000000000003</v>
      </c>
      <c r="R358" s="20">
        <v>65</v>
      </c>
      <c r="S358" s="20">
        <v>56.81</v>
      </c>
      <c r="T358" s="20">
        <v>8.19</v>
      </c>
      <c r="U358" s="20">
        <v>-0.31</v>
      </c>
      <c r="V358" s="20">
        <v>3096.39</v>
      </c>
    </row>
    <row r="359" spans="1:22" ht="16.8" x14ac:dyDescent="0.3">
      <c r="A359" s="26">
        <v>35.9</v>
      </c>
      <c r="B359" s="26">
        <v>58.22</v>
      </c>
      <c r="C359" s="20">
        <v>65</v>
      </c>
      <c r="D359" s="20">
        <v>6.78</v>
      </c>
      <c r="E359" s="20">
        <v>-0.33</v>
      </c>
      <c r="F359" s="20">
        <v>2648.97</v>
      </c>
      <c r="Q359" s="20">
        <v>35.799999999999997</v>
      </c>
      <c r="R359" s="20">
        <v>65</v>
      </c>
      <c r="S359" s="20">
        <v>57.17</v>
      </c>
      <c r="T359" s="20">
        <v>7.83</v>
      </c>
      <c r="U359" s="20">
        <v>-0.36</v>
      </c>
      <c r="V359" s="20">
        <v>3179.88</v>
      </c>
    </row>
    <row r="360" spans="1:22" ht="16.8" x14ac:dyDescent="0.3">
      <c r="A360" s="26">
        <v>36</v>
      </c>
      <c r="B360" s="26">
        <v>58.53</v>
      </c>
      <c r="C360" s="20">
        <v>65</v>
      </c>
      <c r="D360" s="20">
        <v>6.47</v>
      </c>
      <c r="E360" s="20">
        <v>-0.31</v>
      </c>
      <c r="F360" s="20">
        <v>2625.25</v>
      </c>
      <c r="Q360" s="25">
        <v>35.9</v>
      </c>
      <c r="R360" s="20">
        <v>65</v>
      </c>
      <c r="S360" s="20">
        <v>57.52</v>
      </c>
      <c r="T360" s="20">
        <v>7.48</v>
      </c>
      <c r="U360" s="20">
        <v>-0.35</v>
      </c>
      <c r="V360" s="20">
        <v>3167.09</v>
      </c>
    </row>
    <row r="361" spans="1:22" ht="16.8" x14ac:dyDescent="0.3">
      <c r="A361" s="26">
        <v>36.1</v>
      </c>
      <c r="B361" s="26">
        <v>58.77</v>
      </c>
      <c r="C361" s="20">
        <v>65</v>
      </c>
      <c r="D361" s="20">
        <v>6.23</v>
      </c>
      <c r="E361" s="20">
        <v>-0.24</v>
      </c>
      <c r="F361" s="20">
        <v>266.3</v>
      </c>
      <c r="Q361" s="20">
        <v>36</v>
      </c>
      <c r="R361" s="20">
        <v>65</v>
      </c>
      <c r="S361" s="20">
        <v>57.85</v>
      </c>
      <c r="T361" s="20">
        <v>7.15</v>
      </c>
      <c r="U361" s="20">
        <v>-0.33</v>
      </c>
      <c r="V361" s="20">
        <v>3141.53</v>
      </c>
    </row>
    <row r="362" spans="1:22" ht="16.8" x14ac:dyDescent="0.3">
      <c r="A362" s="26">
        <v>36.200000000000003</v>
      </c>
      <c r="B362" s="26">
        <v>59.06</v>
      </c>
      <c r="C362" s="20">
        <v>65</v>
      </c>
      <c r="D362" s="20">
        <v>5.94</v>
      </c>
      <c r="E362" s="20">
        <v>-0.28999999999999998</v>
      </c>
      <c r="F362" s="20">
        <v>2578.9499999999998</v>
      </c>
      <c r="Q362" s="25">
        <v>36.1</v>
      </c>
      <c r="R362" s="20">
        <v>65</v>
      </c>
      <c r="S362" s="20">
        <v>58.2</v>
      </c>
      <c r="T362" s="20">
        <v>6.8</v>
      </c>
      <c r="U362" s="20">
        <v>-0.35</v>
      </c>
      <c r="V362" s="20">
        <v>3167.11</v>
      </c>
    </row>
    <row r="363" spans="1:22" ht="16.8" x14ac:dyDescent="0.3">
      <c r="A363" s="26">
        <v>36.299999999999997</v>
      </c>
      <c r="B363" s="26">
        <v>59.36</v>
      </c>
      <c r="C363" s="20">
        <v>65</v>
      </c>
      <c r="D363" s="20">
        <v>5.64</v>
      </c>
      <c r="E363" s="20">
        <v>-0.3</v>
      </c>
      <c r="F363" s="20">
        <v>2541.94</v>
      </c>
      <c r="Q363" s="25">
        <v>36.200000000000003</v>
      </c>
      <c r="R363" s="20">
        <v>65</v>
      </c>
      <c r="S363" s="20">
        <v>58.5</v>
      </c>
      <c r="T363" s="20">
        <v>6.5</v>
      </c>
      <c r="U363" s="20">
        <v>-0.3</v>
      </c>
      <c r="V363" s="20">
        <v>3082.43</v>
      </c>
    </row>
    <row r="364" spans="1:22" ht="16.8" x14ac:dyDescent="0.3">
      <c r="A364" s="26">
        <v>36.4</v>
      </c>
      <c r="B364" s="26">
        <v>59.63</v>
      </c>
      <c r="C364" s="20">
        <v>65</v>
      </c>
      <c r="D364" s="20">
        <v>5.37</v>
      </c>
      <c r="E364" s="20">
        <v>-0.27</v>
      </c>
      <c r="F364" s="20">
        <v>2526.6999999999998</v>
      </c>
      <c r="Q364" s="20">
        <v>36.299999999999997</v>
      </c>
      <c r="R364" s="20">
        <v>65</v>
      </c>
      <c r="S364" s="20">
        <v>58.84</v>
      </c>
      <c r="T364" s="20">
        <v>6.16</v>
      </c>
      <c r="U364" s="20">
        <v>-0.34</v>
      </c>
      <c r="V364" s="20">
        <v>3154.31</v>
      </c>
    </row>
    <row r="365" spans="1:22" ht="16.8" x14ac:dyDescent="0.3">
      <c r="A365" s="26">
        <v>36.5</v>
      </c>
      <c r="B365" s="26">
        <v>59.86</v>
      </c>
      <c r="C365" s="20">
        <v>65</v>
      </c>
      <c r="D365" s="20">
        <v>5.14</v>
      </c>
      <c r="E365" s="20">
        <v>-0.23</v>
      </c>
      <c r="F365" s="20">
        <v>2531.1799999999998</v>
      </c>
      <c r="Q365" s="25">
        <v>36.4</v>
      </c>
      <c r="R365" s="20">
        <v>65</v>
      </c>
      <c r="S365" s="20">
        <v>59.15</v>
      </c>
      <c r="T365" s="20">
        <v>5.85</v>
      </c>
      <c r="U365" s="20">
        <v>-0.31</v>
      </c>
      <c r="V365" s="20">
        <v>3103.06</v>
      </c>
    </row>
    <row r="366" spans="1:22" ht="16.8" x14ac:dyDescent="0.3">
      <c r="A366" s="26">
        <v>36.6</v>
      </c>
      <c r="B366" s="26">
        <v>60.14</v>
      </c>
      <c r="C366" s="20">
        <v>65</v>
      </c>
      <c r="D366" s="20">
        <v>4.8600000000000003</v>
      </c>
      <c r="E366" s="20">
        <v>-0.28000000000000003</v>
      </c>
      <c r="F366" s="20">
        <v>2466.4899999999998</v>
      </c>
      <c r="Q366" s="20">
        <v>36.5</v>
      </c>
      <c r="R366" s="20">
        <v>65</v>
      </c>
      <c r="S366" s="20">
        <v>59.48</v>
      </c>
      <c r="T366" s="20">
        <v>5.52</v>
      </c>
      <c r="U366" s="20">
        <v>-0.33</v>
      </c>
      <c r="V366" s="20">
        <v>3135.13</v>
      </c>
    </row>
    <row r="367" spans="1:22" ht="16.8" x14ac:dyDescent="0.3">
      <c r="A367" s="26">
        <v>36.700000000000003</v>
      </c>
      <c r="B367" s="26">
        <v>60.41</v>
      </c>
      <c r="C367" s="20">
        <v>65</v>
      </c>
      <c r="D367" s="20">
        <v>4.59</v>
      </c>
      <c r="E367" s="20">
        <v>-0.27</v>
      </c>
      <c r="F367" s="20">
        <v>2442.73</v>
      </c>
      <c r="Q367" s="25">
        <v>36.6</v>
      </c>
      <c r="R367" s="20">
        <v>65</v>
      </c>
      <c r="S367" s="20">
        <v>59.79</v>
      </c>
      <c r="T367" s="20">
        <v>5.21</v>
      </c>
      <c r="U367" s="20">
        <v>-0.31</v>
      </c>
      <c r="V367" s="20">
        <v>3103.03</v>
      </c>
    </row>
    <row r="368" spans="1:22" ht="16.8" x14ac:dyDescent="0.3">
      <c r="A368" s="26">
        <v>36.799999999999997</v>
      </c>
      <c r="B368" s="26">
        <v>60.61</v>
      </c>
      <c r="C368" s="20">
        <v>65</v>
      </c>
      <c r="D368" s="20">
        <v>4.3899999999999997</v>
      </c>
      <c r="E368" s="20">
        <v>-0.2</v>
      </c>
      <c r="F368" s="20">
        <v>2463.1999999999998</v>
      </c>
      <c r="Q368" s="25">
        <v>36.700000000000003</v>
      </c>
      <c r="R368" s="20">
        <v>65</v>
      </c>
      <c r="S368" s="20">
        <v>60.08</v>
      </c>
      <c r="T368" s="20">
        <v>4.92</v>
      </c>
      <c r="U368" s="20">
        <v>-0.28999999999999998</v>
      </c>
      <c r="V368" s="20">
        <v>3068.59</v>
      </c>
    </row>
    <row r="369" spans="1:22" ht="16.8" x14ac:dyDescent="0.3">
      <c r="A369" s="26">
        <v>36.9</v>
      </c>
      <c r="B369" s="26">
        <v>60.86</v>
      </c>
      <c r="C369" s="20">
        <v>65</v>
      </c>
      <c r="D369" s="20">
        <v>4.1399999999999997</v>
      </c>
      <c r="E369" s="20">
        <v>-0.25</v>
      </c>
      <c r="F369" s="20">
        <v>2401.29</v>
      </c>
      <c r="Q369" s="20">
        <v>36.799999999999997</v>
      </c>
      <c r="R369" s="20">
        <v>65</v>
      </c>
      <c r="S369" s="20">
        <v>60.39</v>
      </c>
      <c r="T369" s="20">
        <v>4.6100000000000003</v>
      </c>
      <c r="U369" s="20">
        <v>-0.31</v>
      </c>
      <c r="V369" s="20">
        <v>3103.06</v>
      </c>
    </row>
    <row r="370" spans="1:22" ht="16.8" x14ac:dyDescent="0.3">
      <c r="A370" s="26">
        <v>37</v>
      </c>
      <c r="B370" s="26">
        <v>61.11</v>
      </c>
      <c r="C370" s="20">
        <v>65</v>
      </c>
      <c r="D370" s="20">
        <v>3.89</v>
      </c>
      <c r="E370" s="20">
        <v>-0.25</v>
      </c>
      <c r="F370" s="20">
        <v>2367.1999999999998</v>
      </c>
      <c r="Q370" s="25">
        <v>36.9</v>
      </c>
      <c r="R370" s="20">
        <v>65</v>
      </c>
      <c r="S370" s="20">
        <v>60.66</v>
      </c>
      <c r="T370" s="20">
        <v>4.34</v>
      </c>
      <c r="U370" s="20">
        <v>-0.27</v>
      </c>
      <c r="V370" s="20">
        <v>3034.5</v>
      </c>
    </row>
    <row r="371" spans="1:22" ht="16.8" x14ac:dyDescent="0.3">
      <c r="A371" s="26">
        <v>37.1</v>
      </c>
      <c r="B371" s="26">
        <v>61.35</v>
      </c>
      <c r="C371" s="20">
        <v>65</v>
      </c>
      <c r="D371" s="20">
        <v>3.65</v>
      </c>
      <c r="E371" s="20">
        <v>-0.24</v>
      </c>
      <c r="F371" s="20">
        <v>2348.37</v>
      </c>
      <c r="Q371" s="20">
        <v>37</v>
      </c>
      <c r="R371" s="20">
        <v>65</v>
      </c>
      <c r="S371" s="20">
        <v>61</v>
      </c>
      <c r="T371" s="20">
        <v>4</v>
      </c>
      <c r="U371" s="20">
        <v>-0.33</v>
      </c>
      <c r="V371" s="20">
        <v>3135.13</v>
      </c>
    </row>
    <row r="372" spans="1:22" ht="16.8" x14ac:dyDescent="0.3">
      <c r="A372" s="26">
        <v>37.200000000000003</v>
      </c>
      <c r="B372" s="26">
        <v>61.54</v>
      </c>
      <c r="C372" s="20">
        <v>65</v>
      </c>
      <c r="D372" s="20">
        <v>3.46</v>
      </c>
      <c r="E372" s="20">
        <v>-0.19</v>
      </c>
      <c r="F372" s="20">
        <v>2357.96</v>
      </c>
      <c r="Q372" s="25">
        <v>37.1</v>
      </c>
      <c r="R372" s="20">
        <v>65</v>
      </c>
      <c r="S372" s="20">
        <v>61.25</v>
      </c>
      <c r="T372" s="20">
        <v>3.75</v>
      </c>
      <c r="U372" s="20">
        <v>-0.25</v>
      </c>
      <c r="V372" s="20">
        <v>3000.98</v>
      </c>
    </row>
    <row r="373" spans="1:22" ht="16.8" x14ac:dyDescent="0.3">
      <c r="A373" s="26">
        <v>37.299999999999997</v>
      </c>
      <c r="B373" s="26">
        <v>61.77</v>
      </c>
      <c r="C373" s="20">
        <v>65</v>
      </c>
      <c r="D373" s="20">
        <v>3.23</v>
      </c>
      <c r="E373" s="20">
        <v>-0.23</v>
      </c>
      <c r="F373" s="20">
        <v>2299.11</v>
      </c>
      <c r="Q373" s="20">
        <v>37.200000000000003</v>
      </c>
      <c r="R373" s="20">
        <v>65</v>
      </c>
      <c r="S373" s="20">
        <v>61.58</v>
      </c>
      <c r="T373" s="20">
        <v>3.42</v>
      </c>
      <c r="U373" s="20">
        <v>-0.33</v>
      </c>
      <c r="V373" s="20">
        <v>3135.13</v>
      </c>
    </row>
    <row r="374" spans="1:22" ht="16.8" x14ac:dyDescent="0.3">
      <c r="A374" s="26">
        <v>37.4</v>
      </c>
      <c r="B374" s="26">
        <v>61.94</v>
      </c>
      <c r="C374" s="20">
        <v>65</v>
      </c>
      <c r="D374" s="20">
        <v>3.06</v>
      </c>
      <c r="E374" s="20">
        <v>-0.17</v>
      </c>
      <c r="F374" s="20">
        <v>2324.84</v>
      </c>
      <c r="Q374" s="25">
        <v>37.299999999999997</v>
      </c>
      <c r="R374" s="20">
        <v>65</v>
      </c>
      <c r="S374" s="20">
        <v>61.87</v>
      </c>
      <c r="T374" s="20">
        <v>3.13</v>
      </c>
      <c r="U374" s="20">
        <v>-0.28999999999999998</v>
      </c>
      <c r="V374" s="20">
        <v>3068.58</v>
      </c>
    </row>
    <row r="375" spans="1:22" ht="16.8" x14ac:dyDescent="0.3">
      <c r="A375" s="26">
        <v>37.5</v>
      </c>
      <c r="B375" s="26">
        <v>62.14</v>
      </c>
      <c r="C375" s="20">
        <v>65</v>
      </c>
      <c r="D375" s="20">
        <v>2.86</v>
      </c>
      <c r="E375" s="20">
        <v>-0.2</v>
      </c>
      <c r="F375" s="20">
        <v>2278.86</v>
      </c>
      <c r="Q375" s="25">
        <v>37.4</v>
      </c>
      <c r="R375" s="20">
        <v>65</v>
      </c>
      <c r="S375" s="20">
        <v>62.19</v>
      </c>
      <c r="T375" s="20">
        <v>2.81</v>
      </c>
      <c r="U375" s="20">
        <v>-0.32</v>
      </c>
      <c r="V375" s="20">
        <v>3122.34</v>
      </c>
    </row>
    <row r="376" spans="1:22" ht="16.8" x14ac:dyDescent="0.3">
      <c r="A376" s="26">
        <v>37.6</v>
      </c>
      <c r="B376" s="26">
        <v>62.36</v>
      </c>
      <c r="C376" s="20">
        <v>65</v>
      </c>
      <c r="D376" s="20">
        <v>2.64</v>
      </c>
      <c r="E376" s="20">
        <v>-0.22</v>
      </c>
      <c r="F376" s="20">
        <v>2233.7600000000002</v>
      </c>
      <c r="Q376" s="20">
        <v>37.5</v>
      </c>
      <c r="R376" s="20">
        <v>65</v>
      </c>
      <c r="S376" s="20">
        <v>62.46</v>
      </c>
      <c r="T376" s="20">
        <v>2.54</v>
      </c>
      <c r="U376" s="20">
        <v>-0.27</v>
      </c>
      <c r="V376" s="20">
        <v>3034.5</v>
      </c>
    </row>
    <row r="377" spans="1:22" ht="16.8" x14ac:dyDescent="0.3">
      <c r="A377" s="26">
        <v>37.700000000000003</v>
      </c>
      <c r="B377" s="26">
        <v>62.52</v>
      </c>
      <c r="C377" s="20">
        <v>65</v>
      </c>
      <c r="D377" s="20">
        <v>2.48</v>
      </c>
      <c r="E377" s="20">
        <v>-0.16</v>
      </c>
      <c r="F377" s="20">
        <v>2253.48</v>
      </c>
      <c r="Q377" s="25">
        <v>37.6</v>
      </c>
      <c r="R377" s="20">
        <v>65</v>
      </c>
      <c r="S377" s="20">
        <v>62.76</v>
      </c>
      <c r="T377" s="20">
        <v>2.2400000000000002</v>
      </c>
      <c r="U377" s="20">
        <v>-0.3</v>
      </c>
      <c r="V377" s="20">
        <v>3089.39</v>
      </c>
    </row>
    <row r="378" spans="1:22" ht="16.8" x14ac:dyDescent="0.3">
      <c r="A378" s="26">
        <v>37.799999999999997</v>
      </c>
      <c r="B378" s="26">
        <v>62.71</v>
      </c>
      <c r="C378" s="20">
        <v>65</v>
      </c>
      <c r="D378" s="20">
        <v>2.29</v>
      </c>
      <c r="E378" s="20">
        <v>-0.19</v>
      </c>
      <c r="F378" s="20">
        <v>2206.7600000000002</v>
      </c>
      <c r="Q378" s="20">
        <v>37.700000000000003</v>
      </c>
      <c r="R378" s="20">
        <v>65</v>
      </c>
      <c r="S378" s="20">
        <v>63.01</v>
      </c>
      <c r="T378" s="20">
        <v>1.99</v>
      </c>
      <c r="U378" s="20">
        <v>-0.25</v>
      </c>
      <c r="V378" s="20">
        <v>3007.65</v>
      </c>
    </row>
    <row r="379" spans="1:22" ht="16.8" x14ac:dyDescent="0.3">
      <c r="A379" s="26">
        <v>37.9</v>
      </c>
      <c r="B379" s="26">
        <v>62.82</v>
      </c>
      <c r="C379" s="20">
        <v>65</v>
      </c>
      <c r="D379" s="20">
        <v>2.1800000000000002</v>
      </c>
      <c r="E379" s="20">
        <v>-0.1</v>
      </c>
      <c r="F379" s="20">
        <v>2253.3200000000002</v>
      </c>
      <c r="Q379" s="25">
        <v>37.799999999999997</v>
      </c>
      <c r="R379" s="20">
        <v>65</v>
      </c>
      <c r="S379" s="20">
        <v>63.3</v>
      </c>
      <c r="T379" s="20">
        <v>1.7</v>
      </c>
      <c r="U379" s="20">
        <v>-0.28000000000000003</v>
      </c>
      <c r="V379" s="20">
        <v>2829.93</v>
      </c>
    </row>
    <row r="380" spans="1:22" ht="16.8" x14ac:dyDescent="0.3">
      <c r="A380" s="26">
        <v>38</v>
      </c>
      <c r="B380" s="26">
        <v>63.05</v>
      </c>
      <c r="C380" s="20">
        <v>65</v>
      </c>
      <c r="D380" s="20">
        <v>1.95</v>
      </c>
      <c r="E380" s="20">
        <v>-0.23</v>
      </c>
      <c r="F380" s="20">
        <v>2135.88</v>
      </c>
      <c r="Q380" s="20">
        <v>37.9</v>
      </c>
      <c r="R380" s="20">
        <v>65</v>
      </c>
      <c r="S380" s="20">
        <v>63.6</v>
      </c>
      <c r="T380" s="20">
        <v>1.4</v>
      </c>
      <c r="U380" s="20">
        <v>-0.3</v>
      </c>
      <c r="V380" s="20">
        <v>2550</v>
      </c>
    </row>
    <row r="381" spans="1:22" ht="16.8" x14ac:dyDescent="0.3">
      <c r="A381" s="26">
        <v>38.1</v>
      </c>
      <c r="B381" s="26">
        <v>63.24</v>
      </c>
      <c r="C381" s="20">
        <v>65</v>
      </c>
      <c r="D381" s="20">
        <v>1.76</v>
      </c>
      <c r="E381" s="20">
        <v>-0.19</v>
      </c>
      <c r="F381" s="20">
        <v>2142.06</v>
      </c>
      <c r="Q381" s="25">
        <v>38</v>
      </c>
      <c r="R381" s="20">
        <v>65</v>
      </c>
      <c r="S381" s="20">
        <v>63.82</v>
      </c>
      <c r="T381" s="20">
        <v>1.18</v>
      </c>
      <c r="U381" s="20">
        <v>-0.22</v>
      </c>
      <c r="V381" s="20">
        <v>2550</v>
      </c>
    </row>
    <row r="382" spans="1:22" ht="16.8" x14ac:dyDescent="0.3">
      <c r="A382" s="26">
        <v>38.200000000000003</v>
      </c>
      <c r="B382" s="26">
        <v>63.36</v>
      </c>
      <c r="C382" s="20">
        <v>65</v>
      </c>
      <c r="D382" s="20">
        <v>1.64</v>
      </c>
      <c r="E382" s="20">
        <v>-0.13</v>
      </c>
      <c r="F382" s="20">
        <v>2162.29</v>
      </c>
      <c r="Q382" s="25">
        <v>38.1</v>
      </c>
      <c r="R382" s="20">
        <v>65</v>
      </c>
      <c r="S382" s="20">
        <v>64.13</v>
      </c>
      <c r="T382" s="20">
        <v>0.87</v>
      </c>
      <c r="U382" s="20">
        <v>-0.31</v>
      </c>
      <c r="V382" s="20">
        <v>2550</v>
      </c>
    </row>
    <row r="383" spans="1:22" ht="16.8" x14ac:dyDescent="0.3">
      <c r="A383" s="26">
        <v>38.299999999999997</v>
      </c>
      <c r="B383" s="26">
        <v>63.56</v>
      </c>
      <c r="C383" s="20">
        <v>65</v>
      </c>
      <c r="D383" s="20">
        <v>1.44</v>
      </c>
      <c r="E383" s="20">
        <v>-0.2</v>
      </c>
      <c r="F383" s="20">
        <v>2089.1</v>
      </c>
      <c r="Q383" s="20">
        <v>38.200000000000003</v>
      </c>
      <c r="R383" s="20">
        <v>65</v>
      </c>
      <c r="S383" s="20">
        <v>64.39</v>
      </c>
      <c r="T383" s="20">
        <v>0.61</v>
      </c>
      <c r="U383" s="20">
        <v>-0.27</v>
      </c>
      <c r="V383" s="20">
        <v>2279.94</v>
      </c>
    </row>
    <row r="384" spans="1:22" ht="16.8" x14ac:dyDescent="0.3">
      <c r="A384" s="20">
        <v>38.4</v>
      </c>
      <c r="B384" s="20">
        <v>63.67</v>
      </c>
      <c r="C384" s="20">
        <v>65</v>
      </c>
      <c r="D384" s="20">
        <v>1.33</v>
      </c>
      <c r="E384" s="20">
        <v>-0.11</v>
      </c>
      <c r="F384" s="20">
        <v>2129.67</v>
      </c>
      <c r="Q384" s="25">
        <v>38.299999999999997</v>
      </c>
      <c r="R384" s="20">
        <v>65</v>
      </c>
      <c r="S384" s="20">
        <v>64.61</v>
      </c>
      <c r="T384" s="20">
        <v>0.39</v>
      </c>
      <c r="U384" s="20">
        <v>-0.22</v>
      </c>
      <c r="V384" s="20">
        <v>2089.59</v>
      </c>
    </row>
    <row r="385" spans="1:22" ht="16.8" x14ac:dyDescent="0.3">
      <c r="A385" s="20">
        <v>38.5</v>
      </c>
      <c r="B385" s="20">
        <v>63.85</v>
      </c>
      <c r="C385" s="20">
        <v>65</v>
      </c>
      <c r="D385" s="20">
        <v>1.1499999999999999</v>
      </c>
      <c r="E385" s="20">
        <v>-0.17</v>
      </c>
      <c r="F385" s="20">
        <v>2064.9499999999998</v>
      </c>
      <c r="Q385" s="20">
        <v>38.4</v>
      </c>
      <c r="R385" s="20">
        <v>65</v>
      </c>
      <c r="S385" s="20">
        <v>64.88</v>
      </c>
      <c r="T385" s="20">
        <v>0.12</v>
      </c>
      <c r="U385" s="20">
        <v>-0.27</v>
      </c>
      <c r="V385" s="20">
        <v>1930.97</v>
      </c>
    </row>
    <row r="386" spans="1:22" ht="16.8" x14ac:dyDescent="0.3">
      <c r="A386" s="20">
        <v>38.6</v>
      </c>
      <c r="B386" s="20">
        <v>63.96</v>
      </c>
      <c r="C386" s="20">
        <v>65</v>
      </c>
      <c r="D386" s="20">
        <v>1.04</v>
      </c>
      <c r="E386" s="20">
        <v>-0.12</v>
      </c>
      <c r="F386" s="20">
        <v>2085.6799999999998</v>
      </c>
      <c r="Q386" s="25">
        <v>38.5</v>
      </c>
      <c r="R386" s="20">
        <v>65</v>
      </c>
      <c r="S386" s="20">
        <v>65.069999999999993</v>
      </c>
      <c r="T386" s="20">
        <v>-7.0000000000000007E-2</v>
      </c>
      <c r="U386" s="20">
        <v>-0.19</v>
      </c>
      <c r="V386" s="20">
        <v>1760.09</v>
      </c>
    </row>
    <row r="387" spans="1:22" ht="16.8" x14ac:dyDescent="0.3">
      <c r="A387" s="20">
        <v>38.700000000000003</v>
      </c>
      <c r="B387" s="20">
        <v>64.010000000000005</v>
      </c>
      <c r="C387" s="20">
        <v>65</v>
      </c>
      <c r="D387" s="20">
        <v>0.99</v>
      </c>
      <c r="E387" s="20">
        <v>-0.04</v>
      </c>
      <c r="F387" s="20">
        <v>2128.5100000000002</v>
      </c>
      <c r="Q387" s="25">
        <v>38.6</v>
      </c>
      <c r="R387" s="20">
        <v>65</v>
      </c>
      <c r="S387" s="20">
        <v>65.3</v>
      </c>
      <c r="T387" s="20">
        <v>-0.3</v>
      </c>
      <c r="U387" s="20">
        <v>-0.23</v>
      </c>
      <c r="V387" s="20">
        <v>1636.17</v>
      </c>
    </row>
    <row r="388" spans="1:22" ht="16.8" x14ac:dyDescent="0.3">
      <c r="A388" s="20">
        <v>38.799999999999997</v>
      </c>
      <c r="B388" s="20">
        <v>64.209999999999994</v>
      </c>
      <c r="C388" s="20">
        <v>65</v>
      </c>
      <c r="D388" s="20">
        <v>0.79</v>
      </c>
      <c r="E388" s="20">
        <v>-0.21</v>
      </c>
      <c r="F388" s="20">
        <v>1991.66</v>
      </c>
      <c r="Q388" s="20">
        <v>38.700000000000003</v>
      </c>
      <c r="R388" s="20">
        <v>65</v>
      </c>
      <c r="S388" s="20">
        <v>65.540000000000006</v>
      </c>
      <c r="T388" s="20">
        <v>-0.54</v>
      </c>
      <c r="U388" s="20">
        <v>-0.24</v>
      </c>
      <c r="V388" s="20">
        <v>1458.62</v>
      </c>
    </row>
    <row r="389" spans="1:22" ht="16.8" x14ac:dyDescent="0.3">
      <c r="A389" s="20">
        <v>38.9</v>
      </c>
      <c r="B389" s="20">
        <v>64.36</v>
      </c>
      <c r="C389" s="20">
        <v>65</v>
      </c>
      <c r="D389" s="20">
        <v>0.64</v>
      </c>
      <c r="E389" s="20">
        <v>-0.14000000000000001</v>
      </c>
      <c r="F389" s="20">
        <v>2012.86</v>
      </c>
      <c r="Q389" s="25">
        <v>38.799999999999997</v>
      </c>
      <c r="R389" s="20">
        <v>65</v>
      </c>
      <c r="S389" s="20">
        <v>65.48</v>
      </c>
      <c r="T389" s="20">
        <v>-0.48</v>
      </c>
      <c r="U389" s="20">
        <v>0.06</v>
      </c>
      <c r="V389" s="20">
        <v>1522.96</v>
      </c>
    </row>
    <row r="390" spans="1:22" ht="16.8" x14ac:dyDescent="0.3">
      <c r="A390" s="20">
        <v>39</v>
      </c>
      <c r="B390" s="20">
        <v>64.47</v>
      </c>
      <c r="C390" s="20">
        <v>65</v>
      </c>
      <c r="D390" s="20">
        <v>0.53</v>
      </c>
      <c r="E390" s="20">
        <v>-0.11</v>
      </c>
      <c r="F390" s="20">
        <v>2014.52</v>
      </c>
      <c r="Q390" s="20">
        <v>38.9</v>
      </c>
      <c r="R390" s="20">
        <v>65</v>
      </c>
      <c r="S390" s="20">
        <v>65.62</v>
      </c>
      <c r="T390" s="20">
        <v>-0.62</v>
      </c>
      <c r="U390" s="20">
        <v>-0.14000000000000001</v>
      </c>
      <c r="V390" s="20">
        <v>1339.63</v>
      </c>
    </row>
    <row r="391" spans="1:22" ht="16.8" x14ac:dyDescent="0.3">
      <c r="A391" s="20">
        <v>39.1</v>
      </c>
      <c r="B391" s="20">
        <v>64.61</v>
      </c>
      <c r="C391" s="20">
        <v>65</v>
      </c>
      <c r="D391" s="20">
        <v>0.39</v>
      </c>
      <c r="E391" s="20">
        <v>-0.15</v>
      </c>
      <c r="F391" s="20">
        <v>1971</v>
      </c>
      <c r="Q391" s="25">
        <v>39</v>
      </c>
      <c r="R391" s="20">
        <v>65</v>
      </c>
      <c r="S391" s="20">
        <v>65.83</v>
      </c>
      <c r="T391" s="20">
        <v>-0.83</v>
      </c>
      <c r="U391" s="20">
        <v>-0.21</v>
      </c>
      <c r="V391" s="20">
        <v>223.81</v>
      </c>
    </row>
    <row r="392" spans="1:22" ht="16.8" x14ac:dyDescent="0.3">
      <c r="A392" s="20">
        <v>39.200000000000003</v>
      </c>
      <c r="B392" s="20">
        <v>64.739999999999995</v>
      </c>
      <c r="C392" s="20">
        <v>65</v>
      </c>
      <c r="D392" s="20">
        <v>0.26</v>
      </c>
      <c r="E392" s="20">
        <v>-0.12</v>
      </c>
      <c r="F392" s="20">
        <v>1964.77</v>
      </c>
      <c r="Q392" s="25">
        <v>39.1</v>
      </c>
      <c r="R392" s="20">
        <v>65</v>
      </c>
      <c r="S392" s="20">
        <v>65.89</v>
      </c>
      <c r="T392" s="20">
        <v>-0.89</v>
      </c>
      <c r="U392" s="20">
        <v>-0.06</v>
      </c>
      <c r="V392" s="20">
        <v>223.75</v>
      </c>
    </row>
    <row r="393" spans="1:22" ht="16.8" x14ac:dyDescent="0.3">
      <c r="A393" s="20">
        <v>39.299999999999997</v>
      </c>
      <c r="B393" s="20">
        <v>64.94</v>
      </c>
      <c r="C393" s="20">
        <v>65</v>
      </c>
      <c r="D393" s="20">
        <v>0.06</v>
      </c>
      <c r="E393" s="20">
        <v>-0.2</v>
      </c>
      <c r="F393" s="20">
        <v>1885.65</v>
      </c>
      <c r="Q393" s="20">
        <v>39.200000000000003</v>
      </c>
      <c r="R393" s="20">
        <v>65</v>
      </c>
      <c r="S393" s="20">
        <v>65.989999999999995</v>
      </c>
      <c r="T393" s="20">
        <v>-0.99</v>
      </c>
      <c r="U393" s="20">
        <v>-0.1</v>
      </c>
      <c r="V393" s="20">
        <v>223.64</v>
      </c>
    </row>
    <row r="394" spans="1:22" ht="16.8" x14ac:dyDescent="0.3">
      <c r="A394" s="20">
        <v>39.4</v>
      </c>
      <c r="B394" s="20">
        <v>65.040000000000006</v>
      </c>
      <c r="C394" s="20">
        <v>65</v>
      </c>
      <c r="D394" s="20">
        <v>-0.04</v>
      </c>
      <c r="E394" s="20">
        <v>-0.1</v>
      </c>
      <c r="F394" s="20">
        <v>1932.81</v>
      </c>
      <c r="Q394" s="25">
        <v>39.299999999999997</v>
      </c>
      <c r="R394" s="20">
        <v>65</v>
      </c>
      <c r="S394" s="20">
        <v>65.98</v>
      </c>
      <c r="T394" s="20">
        <v>-0.98</v>
      </c>
      <c r="U394" s="20">
        <v>0.01</v>
      </c>
      <c r="V394" s="20">
        <v>223.65</v>
      </c>
    </row>
    <row r="395" spans="1:22" ht="16.8" x14ac:dyDescent="0.3">
      <c r="A395" s="20">
        <v>39.5</v>
      </c>
      <c r="B395" s="20">
        <v>65.16</v>
      </c>
      <c r="C395" s="20">
        <v>65</v>
      </c>
      <c r="D395" s="20">
        <v>-0.16</v>
      </c>
      <c r="E395" s="20">
        <v>-0.12</v>
      </c>
      <c r="F395" s="20">
        <v>1896.51</v>
      </c>
      <c r="Q395" s="25">
        <v>39.4</v>
      </c>
      <c r="R395" s="20">
        <v>65</v>
      </c>
      <c r="S395" s="20">
        <v>66.040000000000006</v>
      </c>
      <c r="T395" s="20">
        <v>-1.04</v>
      </c>
      <c r="U395" s="20">
        <v>-0.06</v>
      </c>
      <c r="V395" s="20">
        <v>223.59</v>
      </c>
    </row>
    <row r="396" spans="1:22" ht="16.8" x14ac:dyDescent="0.3">
      <c r="A396" s="20">
        <v>39.6</v>
      </c>
      <c r="B396" s="20">
        <v>65.27</v>
      </c>
      <c r="C396" s="20">
        <v>65</v>
      </c>
      <c r="D396" s="20">
        <v>-0.27</v>
      </c>
      <c r="E396" s="20">
        <v>-0.1</v>
      </c>
      <c r="F396" s="20">
        <v>1892.27</v>
      </c>
      <c r="Q396" s="20">
        <v>39.5</v>
      </c>
      <c r="R396" s="20">
        <v>65</v>
      </c>
      <c r="S396" s="20">
        <v>66.010000000000005</v>
      </c>
      <c r="T396" s="20">
        <v>-1.01</v>
      </c>
      <c r="U396" s="20">
        <v>0.03</v>
      </c>
      <c r="V396" s="20">
        <v>223.62</v>
      </c>
    </row>
    <row r="397" spans="1:22" ht="16.8" x14ac:dyDescent="0.3">
      <c r="A397" s="20">
        <v>39.700000000000003</v>
      </c>
      <c r="B397" s="20">
        <v>65.430000000000007</v>
      </c>
      <c r="C397" s="20">
        <v>65</v>
      </c>
      <c r="D397" s="20">
        <v>-0.43</v>
      </c>
      <c r="E397" s="20">
        <v>-0.16</v>
      </c>
      <c r="F397" s="20">
        <v>1828.35</v>
      </c>
      <c r="Q397" s="25">
        <v>39.6</v>
      </c>
      <c r="R397" s="20">
        <v>65</v>
      </c>
      <c r="S397" s="20">
        <v>65.97</v>
      </c>
      <c r="T397" s="20">
        <v>-0.97</v>
      </c>
      <c r="U397" s="20">
        <v>0.04</v>
      </c>
      <c r="V397" s="20">
        <v>223.66</v>
      </c>
    </row>
    <row r="398" spans="1:22" ht="16.8" x14ac:dyDescent="0.3">
      <c r="A398" s="20">
        <v>39.799999999999997</v>
      </c>
      <c r="B398" s="20">
        <v>65.510000000000005</v>
      </c>
      <c r="C398" s="20">
        <v>65</v>
      </c>
      <c r="D398" s="20">
        <v>-0.51</v>
      </c>
      <c r="E398" s="20">
        <v>-0.08</v>
      </c>
      <c r="F398" s="20">
        <v>1867.05</v>
      </c>
      <c r="Q398" s="20">
        <v>39.700000000000003</v>
      </c>
      <c r="R398" s="20">
        <v>65</v>
      </c>
      <c r="S398" s="20">
        <v>65.84</v>
      </c>
      <c r="T398" s="20">
        <v>-0.84</v>
      </c>
      <c r="U398" s="20">
        <v>0.12</v>
      </c>
      <c r="V398" s="20">
        <v>223.8</v>
      </c>
    </row>
    <row r="399" spans="1:22" ht="16.8" x14ac:dyDescent="0.3">
      <c r="A399" s="20">
        <v>39.9</v>
      </c>
      <c r="B399" s="20">
        <v>65.599999999999994</v>
      </c>
      <c r="C399" s="20">
        <v>65</v>
      </c>
      <c r="D399" s="20">
        <v>-0.6</v>
      </c>
      <c r="E399" s="20">
        <v>-0.09</v>
      </c>
      <c r="F399" s="20">
        <v>1842.8</v>
      </c>
      <c r="Q399" s="25">
        <v>39.799999999999997</v>
      </c>
      <c r="R399" s="20">
        <v>65</v>
      </c>
      <c r="S399" s="20">
        <v>65.760000000000005</v>
      </c>
      <c r="T399" s="20">
        <v>-0.76</v>
      </c>
      <c r="U399" s="20">
        <v>0.08</v>
      </c>
      <c r="V399" s="20">
        <v>778.56</v>
      </c>
    </row>
    <row r="400" spans="1:22" ht="16.8" x14ac:dyDescent="0.3">
      <c r="A400" s="20">
        <v>40</v>
      </c>
      <c r="B400" s="20">
        <v>65.73</v>
      </c>
      <c r="C400" s="20">
        <v>65</v>
      </c>
      <c r="D400" s="20">
        <v>-0.73</v>
      </c>
      <c r="E400" s="20">
        <v>-0.13</v>
      </c>
      <c r="F400" s="20">
        <v>1793.25</v>
      </c>
      <c r="Q400" s="20">
        <v>39.9</v>
      </c>
      <c r="R400" s="20">
        <v>65</v>
      </c>
      <c r="S400" s="20">
        <v>65.56</v>
      </c>
      <c r="T400" s="20">
        <v>-0.56000000000000005</v>
      </c>
      <c r="U400" s="20">
        <v>0.2</v>
      </c>
      <c r="V400" s="20">
        <v>1443.28</v>
      </c>
    </row>
    <row r="401" spans="1:22" ht="16.8" x14ac:dyDescent="0.3">
      <c r="A401" s="20">
        <v>40.1</v>
      </c>
      <c r="B401" s="20">
        <v>65.900000000000006</v>
      </c>
      <c r="C401" s="20">
        <v>65</v>
      </c>
      <c r="D401" s="20">
        <v>-0.9</v>
      </c>
      <c r="E401" s="20">
        <v>-0.17</v>
      </c>
      <c r="F401" s="20">
        <v>1743.42</v>
      </c>
      <c r="Q401" s="25">
        <v>40</v>
      </c>
      <c r="R401" s="20">
        <v>65</v>
      </c>
      <c r="S401" s="20">
        <v>65.39</v>
      </c>
      <c r="T401" s="20">
        <v>-0.39</v>
      </c>
      <c r="U401" s="20">
        <v>0.17</v>
      </c>
      <c r="V401" s="20">
        <v>1598.33</v>
      </c>
    </row>
    <row r="402" spans="1:22" ht="16.8" x14ac:dyDescent="0.3">
      <c r="A402" s="20">
        <v>40.200000000000003</v>
      </c>
      <c r="B402" s="20">
        <v>65.959999999999994</v>
      </c>
      <c r="C402" s="20">
        <v>65</v>
      </c>
      <c r="D402" s="20">
        <v>-0.96</v>
      </c>
      <c r="E402" s="20">
        <v>-0.06</v>
      </c>
      <c r="F402" s="20">
        <v>1796.84</v>
      </c>
      <c r="Q402" s="25">
        <v>40.1</v>
      </c>
      <c r="R402" s="20">
        <v>65</v>
      </c>
      <c r="S402" s="20">
        <v>65.28</v>
      </c>
      <c r="T402" s="20">
        <v>-0.28000000000000003</v>
      </c>
      <c r="U402" s="20">
        <v>0.11</v>
      </c>
      <c r="V402" s="20">
        <v>1662.33</v>
      </c>
    </row>
    <row r="403" spans="1:22" ht="16.8" x14ac:dyDescent="0.3">
      <c r="A403" s="20">
        <v>40.299999999999997</v>
      </c>
      <c r="B403" s="20">
        <v>66.06</v>
      </c>
      <c r="C403" s="20">
        <v>65</v>
      </c>
      <c r="D403" s="20">
        <v>-1.06</v>
      </c>
      <c r="E403" s="20">
        <v>-0.1</v>
      </c>
      <c r="F403" s="20">
        <v>1754.31</v>
      </c>
      <c r="Q403" s="20">
        <v>40.200000000000003</v>
      </c>
      <c r="R403" s="20">
        <v>65</v>
      </c>
      <c r="S403" s="20">
        <v>65.12</v>
      </c>
      <c r="T403" s="20">
        <v>-0.12</v>
      </c>
      <c r="U403" s="20">
        <v>0.16</v>
      </c>
      <c r="V403" s="20">
        <v>1736.67</v>
      </c>
    </row>
    <row r="404" spans="1:22" ht="16.8" x14ac:dyDescent="0.3">
      <c r="A404" s="20">
        <v>40.4</v>
      </c>
      <c r="B404" s="20">
        <v>66.14</v>
      </c>
      <c r="C404" s="20">
        <v>65</v>
      </c>
      <c r="D404" s="20">
        <v>-1.1399999999999999</v>
      </c>
      <c r="E404" s="20">
        <v>-0.08</v>
      </c>
      <c r="F404" s="20">
        <v>1755.15</v>
      </c>
      <c r="Q404" s="25">
        <v>40.299999999999997</v>
      </c>
      <c r="R404" s="20">
        <v>65</v>
      </c>
      <c r="S404" s="20">
        <v>65.08</v>
      </c>
      <c r="T404" s="20">
        <v>-0.08</v>
      </c>
      <c r="U404" s="20">
        <v>0.04</v>
      </c>
      <c r="V404" s="20">
        <v>1761.05</v>
      </c>
    </row>
    <row r="405" spans="1:22" ht="16.8" x14ac:dyDescent="0.3">
      <c r="A405" s="20">
        <v>40.5</v>
      </c>
      <c r="B405" s="20">
        <v>66.16</v>
      </c>
      <c r="C405" s="20">
        <v>65</v>
      </c>
      <c r="D405" s="20">
        <v>-1.1599999999999999</v>
      </c>
      <c r="E405" s="20">
        <v>-0.02</v>
      </c>
      <c r="F405" s="20">
        <v>1786.12</v>
      </c>
      <c r="Q405" s="20">
        <v>40.4</v>
      </c>
      <c r="R405" s="20">
        <v>65</v>
      </c>
      <c r="S405" s="20">
        <v>64.959999999999994</v>
      </c>
      <c r="T405" s="20">
        <v>0.04</v>
      </c>
      <c r="U405" s="20">
        <v>0.11</v>
      </c>
      <c r="V405" s="20">
        <v>1834.64</v>
      </c>
    </row>
    <row r="406" spans="1:22" ht="16.8" x14ac:dyDescent="0.3">
      <c r="A406" s="20">
        <v>40.6</v>
      </c>
      <c r="B406" s="20">
        <v>66.23</v>
      </c>
      <c r="C406" s="20">
        <v>65</v>
      </c>
      <c r="D406" s="20">
        <v>-1.23</v>
      </c>
      <c r="E406" s="20">
        <v>-7.0000000000000007E-2</v>
      </c>
      <c r="F406" s="20">
        <v>1740.45</v>
      </c>
      <c r="Q406" s="25">
        <v>40.5</v>
      </c>
      <c r="R406" s="20">
        <v>65</v>
      </c>
      <c r="S406" s="20">
        <v>64.849999999999994</v>
      </c>
      <c r="T406" s="20">
        <v>0.15</v>
      </c>
      <c r="U406" s="20">
        <v>0.12</v>
      </c>
      <c r="V406" s="20">
        <v>1928.03</v>
      </c>
    </row>
    <row r="407" spans="1:22" ht="16.8" x14ac:dyDescent="0.3">
      <c r="A407" s="20">
        <v>40.700000000000003</v>
      </c>
      <c r="B407" s="20">
        <v>66.31</v>
      </c>
      <c r="C407" s="20">
        <v>65</v>
      </c>
      <c r="D407" s="20">
        <v>-1.31</v>
      </c>
      <c r="E407" s="20">
        <v>-0.08</v>
      </c>
      <c r="F407" s="20">
        <v>1719.75</v>
      </c>
      <c r="Q407" s="25">
        <v>40.6</v>
      </c>
      <c r="R407" s="20">
        <v>65</v>
      </c>
      <c r="S407" s="20">
        <v>64.709999999999994</v>
      </c>
      <c r="T407" s="20">
        <v>0.28999999999999998</v>
      </c>
      <c r="U407" s="20">
        <v>0.13</v>
      </c>
      <c r="V407" s="20">
        <v>2019.11</v>
      </c>
    </row>
    <row r="408" spans="1:22" ht="16.8" x14ac:dyDescent="0.3">
      <c r="A408" s="20">
        <v>40.799999999999997</v>
      </c>
      <c r="B408" s="20">
        <v>66.37</v>
      </c>
      <c r="C408" s="20">
        <v>65</v>
      </c>
      <c r="D408" s="20">
        <v>-1.37</v>
      </c>
      <c r="E408" s="20">
        <v>-0.06</v>
      </c>
      <c r="F408" s="20">
        <v>1717.34</v>
      </c>
      <c r="Q408" s="20">
        <v>40.700000000000003</v>
      </c>
      <c r="R408" s="20">
        <v>65</v>
      </c>
      <c r="S408" s="20">
        <v>64.63</v>
      </c>
      <c r="T408" s="20">
        <v>0.37</v>
      </c>
      <c r="U408" s="20">
        <v>0.08</v>
      </c>
      <c r="V408" s="20">
        <v>2078.04</v>
      </c>
    </row>
    <row r="409" spans="1:22" ht="16.8" x14ac:dyDescent="0.3">
      <c r="A409" s="20">
        <v>40.9</v>
      </c>
      <c r="B409" s="20">
        <v>66.38</v>
      </c>
      <c r="C409" s="20">
        <v>65</v>
      </c>
      <c r="D409" s="20">
        <v>-1.38</v>
      </c>
      <c r="E409" s="20">
        <v>-0.02</v>
      </c>
      <c r="F409" s="20">
        <v>1740.51</v>
      </c>
      <c r="Q409" s="25">
        <v>40.799999999999997</v>
      </c>
      <c r="R409" s="20">
        <v>65</v>
      </c>
      <c r="S409" s="20">
        <v>64.510000000000005</v>
      </c>
      <c r="T409" s="20">
        <v>0.49</v>
      </c>
      <c r="U409" s="20">
        <v>0.12</v>
      </c>
      <c r="V409" s="20">
        <v>2166.63</v>
      </c>
    </row>
    <row r="410" spans="1:22" ht="16.8" x14ac:dyDescent="0.3">
      <c r="A410" s="20">
        <v>41</v>
      </c>
      <c r="B410" s="20">
        <v>66.430000000000007</v>
      </c>
      <c r="C410" s="20">
        <v>65</v>
      </c>
      <c r="D410" s="20">
        <v>-1.43</v>
      </c>
      <c r="E410" s="20">
        <v>-0.05</v>
      </c>
      <c r="F410" s="20">
        <v>1708.15</v>
      </c>
      <c r="Q410" s="20">
        <v>40.9</v>
      </c>
      <c r="R410" s="20">
        <v>65</v>
      </c>
      <c r="S410" s="20">
        <v>64.48</v>
      </c>
      <c r="T410" s="20">
        <v>0.52</v>
      </c>
      <c r="U410" s="20">
        <v>0.03</v>
      </c>
      <c r="V410" s="20">
        <v>2193.92</v>
      </c>
    </row>
    <row r="411" spans="1:22" ht="16.8" x14ac:dyDescent="0.3">
      <c r="A411" s="20">
        <v>41.1</v>
      </c>
      <c r="B411" s="20">
        <v>66.48</v>
      </c>
      <c r="C411" s="20">
        <v>65</v>
      </c>
      <c r="D411" s="20">
        <v>-1.48</v>
      </c>
      <c r="E411" s="20">
        <v>-0.05</v>
      </c>
      <c r="F411" s="20">
        <v>1696.84</v>
      </c>
      <c r="Q411" s="25">
        <v>41</v>
      </c>
      <c r="R411" s="20">
        <v>65</v>
      </c>
      <c r="S411" s="20">
        <v>64.41</v>
      </c>
      <c r="T411" s="20">
        <v>0.59</v>
      </c>
      <c r="U411" s="20">
        <v>7.0000000000000007E-2</v>
      </c>
      <c r="V411" s="20">
        <v>2262.91</v>
      </c>
    </row>
    <row r="412" spans="1:22" ht="16.8" x14ac:dyDescent="0.3">
      <c r="A412" s="20">
        <v>41.2</v>
      </c>
      <c r="B412" s="20">
        <v>66.430000000000007</v>
      </c>
      <c r="C412" s="20">
        <v>65</v>
      </c>
      <c r="D412" s="20">
        <v>-1.43</v>
      </c>
      <c r="E412" s="20">
        <v>0.05</v>
      </c>
      <c r="F412" s="20">
        <v>1764.62</v>
      </c>
      <c r="Q412" s="25">
        <v>41.1</v>
      </c>
      <c r="R412" s="20">
        <v>65</v>
      </c>
      <c r="S412" s="20">
        <v>64.45</v>
      </c>
      <c r="T412" s="20">
        <v>0.55000000000000004</v>
      </c>
      <c r="U412" s="20">
        <v>-0.04</v>
      </c>
      <c r="V412" s="20">
        <v>2219.34</v>
      </c>
    </row>
    <row r="413" spans="1:22" ht="16.8" x14ac:dyDescent="0.3">
      <c r="A413" s="20">
        <v>41.3</v>
      </c>
      <c r="B413" s="20">
        <v>66.510000000000005</v>
      </c>
      <c r="C413" s="20">
        <v>65</v>
      </c>
      <c r="D413" s="20">
        <v>-1.51</v>
      </c>
      <c r="E413" s="20">
        <v>-0.08</v>
      </c>
      <c r="F413" s="20">
        <v>1666.77</v>
      </c>
      <c r="Q413" s="20">
        <v>41.2</v>
      </c>
      <c r="R413" s="20">
        <v>65</v>
      </c>
      <c r="S413" s="20">
        <v>64.459999999999994</v>
      </c>
      <c r="T413" s="20">
        <v>0.54</v>
      </c>
      <c r="U413" s="20">
        <v>-0.01</v>
      </c>
      <c r="V413" s="20">
        <v>2208.25</v>
      </c>
    </row>
    <row r="414" spans="1:22" ht="16.8" x14ac:dyDescent="0.3">
      <c r="A414" s="20">
        <v>41.4</v>
      </c>
      <c r="B414" s="20">
        <v>66.53</v>
      </c>
      <c r="C414" s="20">
        <v>65</v>
      </c>
      <c r="D414" s="20">
        <v>-1.53</v>
      </c>
      <c r="E414" s="20">
        <v>-0.02</v>
      </c>
      <c r="F414" s="20">
        <v>1693.56</v>
      </c>
      <c r="Q414" s="25">
        <v>41.3</v>
      </c>
      <c r="R414" s="20">
        <v>65</v>
      </c>
      <c r="S414" s="20">
        <v>64.47</v>
      </c>
      <c r="T414" s="20">
        <v>0.53</v>
      </c>
      <c r="U414" s="20">
        <v>-0.01</v>
      </c>
      <c r="V414" s="20">
        <v>2201.02</v>
      </c>
    </row>
    <row r="415" spans="1:22" ht="16.8" x14ac:dyDescent="0.3">
      <c r="A415" s="20">
        <v>41.5</v>
      </c>
      <c r="B415" s="20">
        <v>66.53</v>
      </c>
      <c r="C415" s="20">
        <v>65</v>
      </c>
      <c r="D415" s="20">
        <v>-1.53</v>
      </c>
      <c r="E415" s="20">
        <v>0</v>
      </c>
      <c r="F415" s="20">
        <v>1705.75</v>
      </c>
      <c r="Q415" s="20">
        <v>41.4</v>
      </c>
      <c r="R415" s="20">
        <v>65</v>
      </c>
      <c r="S415" s="20">
        <v>64.52</v>
      </c>
      <c r="T415" s="20">
        <v>0.48</v>
      </c>
      <c r="U415" s="20">
        <v>-0.04</v>
      </c>
      <c r="V415" s="20">
        <v>2163.33</v>
      </c>
    </row>
    <row r="416" spans="1:22" ht="16.8" x14ac:dyDescent="0.3">
      <c r="A416" s="20">
        <v>41.6</v>
      </c>
      <c r="B416" s="20">
        <v>66.59</v>
      </c>
      <c r="C416" s="20">
        <v>65</v>
      </c>
      <c r="D416" s="20">
        <v>-1.59</v>
      </c>
      <c r="E416" s="20">
        <v>-0.06</v>
      </c>
      <c r="F416" s="20">
        <v>1652.59</v>
      </c>
      <c r="Q416" s="25">
        <v>41.5</v>
      </c>
      <c r="R416" s="20">
        <v>65</v>
      </c>
      <c r="S416" s="20">
        <v>64.569999999999993</v>
      </c>
      <c r="T416" s="20">
        <v>0.43</v>
      </c>
      <c r="U416" s="20">
        <v>-0.05</v>
      </c>
      <c r="V416" s="20">
        <v>2125.35</v>
      </c>
    </row>
    <row r="417" spans="1:22" ht="16.8" x14ac:dyDescent="0.3">
      <c r="A417" s="20">
        <v>41.7</v>
      </c>
      <c r="B417" s="20">
        <v>66.58</v>
      </c>
      <c r="C417" s="20">
        <v>65</v>
      </c>
      <c r="D417" s="20">
        <v>-1.58</v>
      </c>
      <c r="E417" s="20">
        <v>0.01</v>
      </c>
      <c r="F417" s="20">
        <v>1695.01</v>
      </c>
      <c r="Q417" s="25">
        <v>41.6</v>
      </c>
      <c r="R417" s="20">
        <v>65</v>
      </c>
      <c r="S417" s="20">
        <v>64.62</v>
      </c>
      <c r="T417" s="20">
        <v>0.38</v>
      </c>
      <c r="U417" s="20">
        <v>-0.05</v>
      </c>
      <c r="V417" s="20">
        <v>2086.6799999999998</v>
      </c>
    </row>
    <row r="418" spans="1:22" ht="16.8" x14ac:dyDescent="0.3">
      <c r="A418" s="20">
        <v>41.8</v>
      </c>
      <c r="B418" s="20">
        <v>66.569999999999993</v>
      </c>
      <c r="C418" s="20">
        <v>65</v>
      </c>
      <c r="D418" s="20">
        <v>-1.57</v>
      </c>
      <c r="E418" s="20">
        <v>0.02</v>
      </c>
      <c r="F418" s="20">
        <v>1699.12</v>
      </c>
      <c r="Q418" s="20">
        <v>41.7</v>
      </c>
      <c r="R418" s="20">
        <v>65</v>
      </c>
      <c r="S418" s="20">
        <v>64.709999999999994</v>
      </c>
      <c r="T418" s="20">
        <v>0.28999999999999998</v>
      </c>
      <c r="U418" s="20">
        <v>-0.09</v>
      </c>
      <c r="V418" s="20">
        <v>2024.65</v>
      </c>
    </row>
    <row r="419" spans="1:22" ht="16.8" x14ac:dyDescent="0.3">
      <c r="A419" s="20">
        <v>41.9</v>
      </c>
      <c r="B419" s="20">
        <v>66.59</v>
      </c>
      <c r="C419" s="20">
        <v>65</v>
      </c>
      <c r="D419" s="20">
        <v>-1.59</v>
      </c>
      <c r="E419" s="20">
        <v>-0.02</v>
      </c>
      <c r="F419" s="20">
        <v>1664.99</v>
      </c>
      <c r="Q419" s="25">
        <v>41.8</v>
      </c>
      <c r="R419" s="20">
        <v>65</v>
      </c>
      <c r="S419" s="20">
        <v>64.72</v>
      </c>
      <c r="T419" s="20">
        <v>0.28000000000000003</v>
      </c>
      <c r="U419" s="20">
        <v>-0.02</v>
      </c>
      <c r="V419" s="20">
        <v>2013.57</v>
      </c>
    </row>
    <row r="420" spans="1:22" ht="16.8" x14ac:dyDescent="0.3">
      <c r="A420" s="20">
        <v>42</v>
      </c>
      <c r="B420" s="20">
        <v>66.599999999999994</v>
      </c>
      <c r="C420" s="20">
        <v>65</v>
      </c>
      <c r="D420" s="20">
        <v>-1.6</v>
      </c>
      <c r="E420" s="20">
        <v>-0.01</v>
      </c>
      <c r="F420" s="20">
        <v>1667.13</v>
      </c>
      <c r="Q420" s="20">
        <v>41.9</v>
      </c>
      <c r="R420" s="20">
        <v>65</v>
      </c>
      <c r="S420" s="20">
        <v>64.819999999999993</v>
      </c>
      <c r="T420" s="20">
        <v>0.18</v>
      </c>
      <c r="U420" s="20">
        <v>-0.1</v>
      </c>
      <c r="V420" s="20">
        <v>1946.31</v>
      </c>
    </row>
    <row r="421" spans="1:22" ht="16.8" x14ac:dyDescent="0.3">
      <c r="A421" s="20">
        <v>42.1</v>
      </c>
      <c r="B421" s="20">
        <v>66.62</v>
      </c>
      <c r="C421" s="20">
        <v>65</v>
      </c>
      <c r="D421" s="20">
        <v>-1.62</v>
      </c>
      <c r="E421" s="20">
        <v>-0.02</v>
      </c>
      <c r="F421" s="20">
        <v>1654.72</v>
      </c>
      <c r="Q421" s="25">
        <v>42</v>
      </c>
      <c r="R421" s="20">
        <v>65</v>
      </c>
      <c r="S421" s="20">
        <v>64.88</v>
      </c>
      <c r="T421" s="20">
        <v>0.12</v>
      </c>
      <c r="U421" s="20">
        <v>-0.06</v>
      </c>
      <c r="V421" s="20">
        <v>1898.86</v>
      </c>
    </row>
    <row r="422" spans="1:22" ht="16.8" x14ac:dyDescent="0.3">
      <c r="A422" s="20">
        <v>42.2</v>
      </c>
      <c r="B422" s="20">
        <v>66.61</v>
      </c>
      <c r="C422" s="20">
        <v>65</v>
      </c>
      <c r="D422" s="20">
        <v>-1.61</v>
      </c>
      <c r="E422" s="20">
        <v>0.01</v>
      </c>
      <c r="F422" s="20">
        <v>1673.92</v>
      </c>
      <c r="Q422" s="25">
        <v>42.1</v>
      </c>
      <c r="R422" s="20">
        <v>65</v>
      </c>
      <c r="S422" s="20">
        <v>64.97</v>
      </c>
      <c r="T422" s="20">
        <v>0.03</v>
      </c>
      <c r="U422" s="20">
        <v>-0.09</v>
      </c>
      <c r="V422" s="20">
        <v>1826.62</v>
      </c>
    </row>
    <row r="423" spans="1:22" ht="16.8" x14ac:dyDescent="0.3">
      <c r="A423" s="20">
        <v>42.3</v>
      </c>
      <c r="B423" s="20">
        <v>66.64</v>
      </c>
      <c r="C423" s="20">
        <v>65</v>
      </c>
      <c r="D423" s="20">
        <v>-1.64</v>
      </c>
      <c r="E423" s="20">
        <v>-0.03</v>
      </c>
      <c r="F423" s="20">
        <v>1639.04</v>
      </c>
      <c r="Q423" s="20">
        <v>42.2</v>
      </c>
      <c r="R423" s="20">
        <v>65</v>
      </c>
      <c r="S423" s="20">
        <v>64.92</v>
      </c>
      <c r="T423" s="20">
        <v>0.08</v>
      </c>
      <c r="U423" s="20">
        <v>0.05</v>
      </c>
      <c r="V423" s="20">
        <v>1870.73</v>
      </c>
    </row>
    <row r="424" spans="1:22" ht="16.8" x14ac:dyDescent="0.3">
      <c r="A424" s="20">
        <v>42.4</v>
      </c>
      <c r="B424" s="20">
        <v>66.62</v>
      </c>
      <c r="C424" s="20">
        <v>65</v>
      </c>
      <c r="D424" s="20">
        <v>-1.62</v>
      </c>
      <c r="E424" s="20">
        <v>0.02</v>
      </c>
      <c r="F424" s="20">
        <v>1670.1</v>
      </c>
      <c r="Q424" s="25">
        <v>42.3</v>
      </c>
      <c r="R424" s="20">
        <v>65</v>
      </c>
      <c r="S424" s="20">
        <v>65.08</v>
      </c>
      <c r="T424" s="20">
        <v>-0.08</v>
      </c>
      <c r="U424" s="20">
        <v>-0.17</v>
      </c>
      <c r="V424" s="20">
        <v>1752.83</v>
      </c>
    </row>
    <row r="425" spans="1:22" ht="16.8" x14ac:dyDescent="0.3">
      <c r="A425" s="20">
        <v>42.5</v>
      </c>
      <c r="B425" s="20">
        <v>66.64</v>
      </c>
      <c r="C425" s="20">
        <v>65</v>
      </c>
      <c r="D425" s="20">
        <v>-1.64</v>
      </c>
      <c r="E425" s="20">
        <v>-0.02</v>
      </c>
      <c r="F425" s="20">
        <v>1633.2</v>
      </c>
      <c r="Q425" s="20">
        <v>42.4</v>
      </c>
      <c r="R425" s="20">
        <v>65</v>
      </c>
      <c r="S425" s="20">
        <v>65.040000000000006</v>
      </c>
      <c r="T425" s="20">
        <v>-0.04</v>
      </c>
      <c r="U425" s="20">
        <v>0.04</v>
      </c>
      <c r="V425" s="20">
        <v>1778.92</v>
      </c>
    </row>
    <row r="426" spans="1:22" ht="16.8" x14ac:dyDescent="0.3">
      <c r="A426" s="20">
        <v>42.6</v>
      </c>
      <c r="B426" s="20">
        <v>66.63</v>
      </c>
      <c r="C426" s="20">
        <v>65</v>
      </c>
      <c r="D426" s="20">
        <v>-1.63</v>
      </c>
      <c r="E426" s="20">
        <v>0.02</v>
      </c>
      <c r="F426" s="20">
        <v>1658.31</v>
      </c>
      <c r="Q426" s="25">
        <v>42.5</v>
      </c>
      <c r="R426" s="20">
        <v>65</v>
      </c>
      <c r="S426" s="20">
        <v>65.12</v>
      </c>
      <c r="T426" s="20">
        <v>-0.12</v>
      </c>
      <c r="U426" s="20">
        <v>-0.08</v>
      </c>
      <c r="V426" s="20">
        <v>1739.71</v>
      </c>
    </row>
    <row r="427" spans="1:22" ht="16.8" x14ac:dyDescent="0.3">
      <c r="A427" s="20">
        <v>42.7</v>
      </c>
      <c r="B427" s="20">
        <v>66.64</v>
      </c>
      <c r="C427" s="20">
        <v>65</v>
      </c>
      <c r="D427" s="20">
        <v>-1.64</v>
      </c>
      <c r="E427" s="20">
        <v>-0.01</v>
      </c>
      <c r="F427" s="20">
        <v>1637.24</v>
      </c>
      <c r="Q427" s="25">
        <v>42.6</v>
      </c>
      <c r="R427" s="20">
        <v>65</v>
      </c>
      <c r="S427" s="20">
        <v>65.16</v>
      </c>
      <c r="T427" s="20">
        <v>-0.16</v>
      </c>
      <c r="U427" s="20">
        <v>-0.04</v>
      </c>
      <c r="V427" s="20">
        <v>1720.55</v>
      </c>
    </row>
    <row r="428" spans="1:22" ht="16.8" x14ac:dyDescent="0.3">
      <c r="A428" s="20">
        <v>42.8</v>
      </c>
      <c r="B428" s="20">
        <v>66.64</v>
      </c>
      <c r="C428" s="20">
        <v>65</v>
      </c>
      <c r="D428" s="20">
        <v>-1.64</v>
      </c>
      <c r="E428" s="20">
        <v>0</v>
      </c>
      <c r="F428" s="20">
        <v>1638.6</v>
      </c>
      <c r="Q428" s="20">
        <v>42.7</v>
      </c>
      <c r="R428" s="20">
        <v>65</v>
      </c>
      <c r="S428" s="20">
        <v>65.27</v>
      </c>
      <c r="T428" s="20">
        <v>-0.27</v>
      </c>
      <c r="U428" s="20">
        <v>-0.1</v>
      </c>
      <c r="V428" s="20">
        <v>1668.68</v>
      </c>
    </row>
    <row r="429" spans="1:22" ht="16.8" x14ac:dyDescent="0.3">
      <c r="A429" s="20">
        <v>42.9</v>
      </c>
      <c r="B429" s="20">
        <v>66.64</v>
      </c>
      <c r="C429" s="20">
        <v>65</v>
      </c>
      <c r="D429" s="20">
        <v>-1.64</v>
      </c>
      <c r="E429" s="20">
        <v>0</v>
      </c>
      <c r="F429" s="20">
        <v>1631.37</v>
      </c>
      <c r="Q429" s="25">
        <v>42.8</v>
      </c>
      <c r="R429" s="20">
        <v>65</v>
      </c>
      <c r="S429" s="20">
        <v>65.31</v>
      </c>
      <c r="T429" s="20">
        <v>-0.31</v>
      </c>
      <c r="U429" s="20">
        <v>-0.05</v>
      </c>
      <c r="V429" s="20">
        <v>1642.54</v>
      </c>
    </row>
    <row r="430" spans="1:22" ht="16.8" x14ac:dyDescent="0.3">
      <c r="A430" s="20">
        <v>43</v>
      </c>
      <c r="B430" s="20">
        <v>66.63</v>
      </c>
      <c r="C430" s="20">
        <v>65</v>
      </c>
      <c r="D430" s="20">
        <v>-1.63</v>
      </c>
      <c r="E430" s="20">
        <v>0.01</v>
      </c>
      <c r="F430" s="20">
        <v>1639.98</v>
      </c>
      <c r="Q430" s="25">
        <v>42.9</v>
      </c>
      <c r="R430" s="20">
        <v>65</v>
      </c>
      <c r="S430" s="20">
        <v>65.36</v>
      </c>
      <c r="T430" s="20">
        <v>-0.36</v>
      </c>
      <c r="U430" s="20">
        <v>-0.05</v>
      </c>
      <c r="V430" s="20">
        <v>1613.93</v>
      </c>
    </row>
    <row r="431" spans="1:22" ht="16.8" x14ac:dyDescent="0.3">
      <c r="A431" s="20">
        <v>43.1</v>
      </c>
      <c r="B431" s="20">
        <v>66.650000000000006</v>
      </c>
      <c r="C431" s="20">
        <v>65</v>
      </c>
      <c r="D431" s="20">
        <v>-1.65</v>
      </c>
      <c r="E431" s="20">
        <v>-0.02</v>
      </c>
      <c r="F431" s="20">
        <v>1611.65</v>
      </c>
      <c r="Q431" s="20">
        <v>43</v>
      </c>
      <c r="R431" s="20">
        <v>65</v>
      </c>
      <c r="S431" s="20">
        <v>65.38</v>
      </c>
      <c r="T431" s="20">
        <v>-0.38</v>
      </c>
      <c r="U431" s="20">
        <v>-0.01</v>
      </c>
      <c r="V431" s="20">
        <v>1606.29</v>
      </c>
    </row>
    <row r="432" spans="1:22" ht="16.8" x14ac:dyDescent="0.3">
      <c r="A432" s="20">
        <v>43.2</v>
      </c>
      <c r="B432" s="20">
        <v>66.62</v>
      </c>
      <c r="C432" s="20">
        <v>65</v>
      </c>
      <c r="D432" s="20">
        <v>-1.62</v>
      </c>
      <c r="E432" s="20">
        <v>0.02</v>
      </c>
      <c r="F432" s="20">
        <v>1640.71</v>
      </c>
      <c r="Q432" s="25">
        <v>43.1</v>
      </c>
      <c r="R432" s="20">
        <v>65</v>
      </c>
      <c r="S432" s="20">
        <v>65.44</v>
      </c>
      <c r="T432" s="20">
        <v>-0.44</v>
      </c>
      <c r="U432" s="20">
        <v>-7.0000000000000007E-2</v>
      </c>
      <c r="V432" s="20">
        <v>1557.45</v>
      </c>
    </row>
    <row r="433" spans="1:22" ht="16.8" x14ac:dyDescent="0.3">
      <c r="A433" s="20">
        <v>43.3</v>
      </c>
      <c r="B433" s="20">
        <v>66.599999999999994</v>
      </c>
      <c r="C433" s="20">
        <v>65</v>
      </c>
      <c r="D433" s="20">
        <v>-1.6</v>
      </c>
      <c r="E433" s="20">
        <v>0.02</v>
      </c>
      <c r="F433" s="20">
        <v>1640.75</v>
      </c>
      <c r="Q433" s="20">
        <v>43.2</v>
      </c>
      <c r="R433" s="20">
        <v>65</v>
      </c>
      <c r="S433" s="20">
        <v>65.459999999999994</v>
      </c>
      <c r="T433" s="20">
        <v>-0.46</v>
      </c>
      <c r="U433" s="20">
        <v>-0.01</v>
      </c>
      <c r="V433" s="20">
        <v>1547.68</v>
      </c>
    </row>
    <row r="434" spans="1:22" ht="16.8" x14ac:dyDescent="0.3">
      <c r="A434" s="20">
        <v>43.4</v>
      </c>
      <c r="B434" s="20">
        <v>66.599999999999994</v>
      </c>
      <c r="C434" s="20">
        <v>65</v>
      </c>
      <c r="D434" s="20">
        <v>-1.6</v>
      </c>
      <c r="E434" s="20">
        <v>0</v>
      </c>
      <c r="F434" s="20">
        <v>1624.35</v>
      </c>
      <c r="Q434" s="25">
        <v>43.3</v>
      </c>
      <c r="R434" s="20">
        <v>65</v>
      </c>
      <c r="S434" s="20">
        <v>65.48</v>
      </c>
      <c r="T434" s="20">
        <v>-0.48</v>
      </c>
      <c r="U434" s="20">
        <v>-0.02</v>
      </c>
      <c r="V434" s="20">
        <v>1526.68</v>
      </c>
    </row>
    <row r="435" spans="1:22" ht="16.8" x14ac:dyDescent="0.3">
      <c r="A435" s="20">
        <v>43.5</v>
      </c>
      <c r="B435" s="20">
        <v>66.62</v>
      </c>
      <c r="C435" s="20">
        <v>65</v>
      </c>
      <c r="D435" s="20">
        <v>-1.62</v>
      </c>
      <c r="E435" s="20">
        <v>-0.03</v>
      </c>
      <c r="F435" s="20">
        <v>1594.78</v>
      </c>
      <c r="Q435" s="25">
        <v>43.4</v>
      </c>
      <c r="R435" s="20">
        <v>65</v>
      </c>
      <c r="S435" s="20">
        <v>65.459999999999994</v>
      </c>
      <c r="T435" s="20">
        <v>-0.46</v>
      </c>
      <c r="U435" s="20">
        <v>0.02</v>
      </c>
      <c r="V435" s="20">
        <v>1544.33</v>
      </c>
    </row>
    <row r="436" spans="1:22" ht="16.8" x14ac:dyDescent="0.3">
      <c r="A436" s="20">
        <v>43.6</v>
      </c>
      <c r="B436" s="20">
        <v>66.61</v>
      </c>
      <c r="C436" s="20">
        <v>65</v>
      </c>
      <c r="D436" s="20">
        <v>-1.61</v>
      </c>
      <c r="E436" s="20">
        <v>0.02</v>
      </c>
      <c r="F436" s="20">
        <v>1622.58</v>
      </c>
      <c r="Q436" s="20">
        <v>43.5</v>
      </c>
      <c r="R436" s="20">
        <v>65</v>
      </c>
      <c r="S436" s="20">
        <v>65.5</v>
      </c>
      <c r="T436" s="20">
        <v>-0.5</v>
      </c>
      <c r="U436" s="20">
        <v>-0.04</v>
      </c>
      <c r="V436" s="20">
        <v>1511.47</v>
      </c>
    </row>
    <row r="437" spans="1:22" ht="16.8" x14ac:dyDescent="0.3">
      <c r="A437" s="20">
        <v>43.7</v>
      </c>
      <c r="B437" s="20">
        <v>66.61</v>
      </c>
      <c r="C437" s="20">
        <v>65</v>
      </c>
      <c r="D437" s="20">
        <v>-1.61</v>
      </c>
      <c r="E437" s="20">
        <v>0</v>
      </c>
      <c r="F437" s="20">
        <v>1608.16</v>
      </c>
      <c r="Q437" s="25">
        <v>43.6</v>
      </c>
      <c r="R437" s="20">
        <v>65</v>
      </c>
      <c r="S437" s="20">
        <v>65.5</v>
      </c>
      <c r="T437" s="20">
        <v>-0.5</v>
      </c>
      <c r="U437" s="20">
        <v>0</v>
      </c>
      <c r="V437" s="20">
        <v>1507.51</v>
      </c>
    </row>
    <row r="438" spans="1:22" ht="16.8" x14ac:dyDescent="0.3">
      <c r="A438" s="20">
        <v>43.8</v>
      </c>
      <c r="B438" s="20">
        <v>66.59</v>
      </c>
      <c r="C438" s="20">
        <v>65</v>
      </c>
      <c r="D438" s="20">
        <v>-1.59</v>
      </c>
      <c r="E438" s="20">
        <v>0.02</v>
      </c>
      <c r="F438" s="20">
        <v>1617.49</v>
      </c>
      <c r="Q438" s="20">
        <v>43.7</v>
      </c>
      <c r="R438" s="20">
        <v>65</v>
      </c>
      <c r="S438" s="20">
        <v>65.459999999999994</v>
      </c>
      <c r="T438" s="20">
        <v>-0.46</v>
      </c>
      <c r="U438" s="20">
        <v>0.04</v>
      </c>
      <c r="V438" s="20">
        <v>1544.33</v>
      </c>
    </row>
    <row r="439" spans="1:22" ht="16.8" x14ac:dyDescent="0.3">
      <c r="A439" s="20">
        <v>43.9</v>
      </c>
      <c r="B439" s="20">
        <v>66.58</v>
      </c>
      <c r="C439" s="20">
        <v>65</v>
      </c>
      <c r="D439" s="20">
        <v>-1.58</v>
      </c>
      <c r="E439" s="20">
        <v>0.01</v>
      </c>
      <c r="F439" s="20">
        <v>1609.71</v>
      </c>
      <c r="Q439" s="25">
        <v>43.8</v>
      </c>
      <c r="R439" s="20">
        <v>65</v>
      </c>
      <c r="S439" s="20">
        <v>65.5</v>
      </c>
      <c r="T439" s="20">
        <v>-0.5</v>
      </c>
      <c r="U439" s="20">
        <v>-0.04</v>
      </c>
      <c r="V439" s="20">
        <v>1507.51</v>
      </c>
    </row>
    <row r="440" spans="1:22" ht="16.8" x14ac:dyDescent="0.3">
      <c r="A440" s="20">
        <v>44</v>
      </c>
      <c r="B440" s="20">
        <v>66.58</v>
      </c>
      <c r="C440" s="20">
        <v>65</v>
      </c>
      <c r="D440" s="20">
        <v>-1.58</v>
      </c>
      <c r="E440" s="20">
        <v>0</v>
      </c>
      <c r="F440" s="20">
        <v>1603.91</v>
      </c>
      <c r="Q440" s="25">
        <v>43.9</v>
      </c>
      <c r="R440" s="20">
        <v>65</v>
      </c>
      <c r="S440" s="20">
        <v>65.5</v>
      </c>
      <c r="T440" s="20">
        <v>-0.5</v>
      </c>
      <c r="U440" s="20">
        <v>0</v>
      </c>
      <c r="V440" s="20">
        <v>1511.47</v>
      </c>
    </row>
    <row r="441" spans="1:22" ht="16.8" x14ac:dyDescent="0.3">
      <c r="A441" s="20">
        <v>44.1</v>
      </c>
      <c r="B441" s="20">
        <v>66.56</v>
      </c>
      <c r="C441" s="20">
        <v>65</v>
      </c>
      <c r="D441" s="20">
        <v>-1.56</v>
      </c>
      <c r="E441" s="20">
        <v>0.02</v>
      </c>
      <c r="F441" s="20">
        <v>1610.69</v>
      </c>
      <c r="Q441" s="20">
        <v>44</v>
      </c>
      <c r="R441" s="20">
        <v>65</v>
      </c>
      <c r="S441" s="20">
        <v>65.5</v>
      </c>
      <c r="T441" s="20">
        <v>-0.5</v>
      </c>
      <c r="U441" s="20">
        <v>0</v>
      </c>
      <c r="V441" s="20">
        <v>1511.47</v>
      </c>
    </row>
    <row r="442" spans="1:22" ht="16.8" x14ac:dyDescent="0.3">
      <c r="A442" s="20">
        <v>44.2</v>
      </c>
      <c r="B442" s="20">
        <v>66.540000000000006</v>
      </c>
      <c r="C442" s="20">
        <v>65</v>
      </c>
      <c r="D442" s="20">
        <v>-1.54</v>
      </c>
      <c r="E442" s="20">
        <v>0.02</v>
      </c>
      <c r="F442" s="20">
        <v>1612.86</v>
      </c>
      <c r="Q442" s="25">
        <v>44.1</v>
      </c>
      <c r="R442" s="20">
        <v>65</v>
      </c>
      <c r="S442" s="20">
        <v>65.47</v>
      </c>
      <c r="T442" s="20">
        <v>-0.47</v>
      </c>
      <c r="U442" s="20">
        <v>0.03</v>
      </c>
      <c r="V442" s="20">
        <v>1537.46</v>
      </c>
    </row>
    <row r="443" spans="1:22" ht="16.8" x14ac:dyDescent="0.3">
      <c r="A443" s="20">
        <v>44.3</v>
      </c>
      <c r="B443" s="20">
        <v>66.55</v>
      </c>
      <c r="C443" s="20">
        <v>65</v>
      </c>
      <c r="D443" s="20">
        <v>-1.55</v>
      </c>
      <c r="E443" s="20">
        <v>0</v>
      </c>
      <c r="F443" s="20">
        <v>1592.64</v>
      </c>
      <c r="Q443" s="20">
        <v>44.2</v>
      </c>
      <c r="R443" s="20">
        <v>65</v>
      </c>
      <c r="S443" s="20">
        <v>65.459999999999994</v>
      </c>
      <c r="T443" s="20">
        <v>-0.46</v>
      </c>
      <c r="U443" s="20">
        <v>0.01</v>
      </c>
      <c r="V443" s="20">
        <v>1544.33</v>
      </c>
    </row>
    <row r="444" spans="1:22" ht="16.8" x14ac:dyDescent="0.3">
      <c r="A444" s="20">
        <v>44.4</v>
      </c>
      <c r="B444" s="20">
        <v>66.540000000000006</v>
      </c>
      <c r="C444" s="20">
        <v>65</v>
      </c>
      <c r="D444" s="20">
        <v>-1.54</v>
      </c>
      <c r="E444" s="20">
        <v>0.01</v>
      </c>
      <c r="F444" s="20">
        <v>1601.47</v>
      </c>
      <c r="Q444" s="25">
        <v>44.3</v>
      </c>
      <c r="R444" s="20">
        <v>65</v>
      </c>
      <c r="S444" s="20">
        <v>65.45</v>
      </c>
      <c r="T444" s="20">
        <v>-0.45</v>
      </c>
      <c r="U444" s="20">
        <v>0.01</v>
      </c>
      <c r="V444" s="20">
        <v>1554.23</v>
      </c>
    </row>
    <row r="445" spans="1:22" ht="16.8" x14ac:dyDescent="0.3">
      <c r="A445" s="20">
        <v>44.5</v>
      </c>
      <c r="B445" s="20">
        <v>66.53</v>
      </c>
      <c r="C445" s="20">
        <v>65</v>
      </c>
      <c r="D445" s="20">
        <v>-1.53</v>
      </c>
      <c r="E445" s="20">
        <v>0.01</v>
      </c>
      <c r="F445" s="20">
        <v>1596.46</v>
      </c>
      <c r="Q445" s="25">
        <v>44.4</v>
      </c>
      <c r="R445" s="20">
        <v>65</v>
      </c>
      <c r="S445" s="20">
        <v>65.38</v>
      </c>
      <c r="T445" s="20">
        <v>-0.38</v>
      </c>
      <c r="U445" s="20">
        <v>7.0000000000000007E-2</v>
      </c>
      <c r="V445" s="20">
        <v>1606.29</v>
      </c>
    </row>
    <row r="446" spans="1:22" ht="16.8" x14ac:dyDescent="0.3">
      <c r="A446" s="20">
        <v>44.6</v>
      </c>
      <c r="B446" s="20">
        <v>66.52</v>
      </c>
      <c r="C446" s="20">
        <v>65</v>
      </c>
      <c r="D446" s="20">
        <v>-1.52</v>
      </c>
      <c r="E446" s="20">
        <v>0.01</v>
      </c>
      <c r="F446" s="20">
        <v>1597.42</v>
      </c>
      <c r="Q446" s="20">
        <v>44.5</v>
      </c>
      <c r="R446" s="20">
        <v>65</v>
      </c>
      <c r="S446" s="20">
        <v>65.38</v>
      </c>
      <c r="T446" s="20">
        <v>-0.38</v>
      </c>
      <c r="U446" s="20">
        <v>0</v>
      </c>
      <c r="V446" s="20">
        <v>1606.29</v>
      </c>
    </row>
    <row r="447" spans="1:22" ht="16.8" x14ac:dyDescent="0.3">
      <c r="A447" s="20">
        <v>44.7</v>
      </c>
      <c r="B447" s="20">
        <v>66.489999999999995</v>
      </c>
      <c r="C447" s="20">
        <v>65</v>
      </c>
      <c r="D447" s="20">
        <v>-1.49</v>
      </c>
      <c r="E447" s="20">
        <v>0.02</v>
      </c>
      <c r="F447" s="20">
        <v>1605.64</v>
      </c>
      <c r="Q447" s="25">
        <v>44.6</v>
      </c>
      <c r="R447" s="20">
        <v>65</v>
      </c>
      <c r="S447" s="20">
        <v>65.33</v>
      </c>
      <c r="T447" s="20">
        <v>-0.33</v>
      </c>
      <c r="U447" s="20">
        <v>0.04</v>
      </c>
      <c r="V447" s="20">
        <v>1630.98</v>
      </c>
    </row>
    <row r="448" spans="1:22" ht="16.8" x14ac:dyDescent="0.3">
      <c r="A448" s="20">
        <v>44.8</v>
      </c>
      <c r="B448" s="20">
        <v>66.489999999999995</v>
      </c>
      <c r="C448" s="20">
        <v>65</v>
      </c>
      <c r="D448" s="20">
        <v>-1.49</v>
      </c>
      <c r="E448" s="20">
        <v>0</v>
      </c>
      <c r="F448" s="20">
        <v>1589.51</v>
      </c>
      <c r="Q448" s="20">
        <v>44.7</v>
      </c>
      <c r="R448" s="20">
        <v>65</v>
      </c>
      <c r="S448" s="20">
        <v>65.349999999999994</v>
      </c>
      <c r="T448" s="20">
        <v>-0.35</v>
      </c>
      <c r="U448" s="20">
        <v>-0.01</v>
      </c>
      <c r="V448" s="20">
        <v>1623.75</v>
      </c>
    </row>
    <row r="449" spans="1:22" ht="16.8" x14ac:dyDescent="0.3">
      <c r="A449" s="20">
        <v>44.9</v>
      </c>
      <c r="B449" s="20">
        <v>66.489999999999995</v>
      </c>
      <c r="C449" s="20">
        <v>65</v>
      </c>
      <c r="D449" s="20">
        <v>-1.49</v>
      </c>
      <c r="E449" s="20">
        <v>0</v>
      </c>
      <c r="F449" s="20">
        <v>1583.3</v>
      </c>
      <c r="Q449" s="25">
        <v>44.8</v>
      </c>
      <c r="R449" s="20">
        <v>65</v>
      </c>
      <c r="S449" s="20">
        <v>65.33</v>
      </c>
      <c r="T449" s="20">
        <v>-0.33</v>
      </c>
      <c r="U449" s="20">
        <v>0.02</v>
      </c>
      <c r="V449" s="20">
        <v>1635.68</v>
      </c>
    </row>
    <row r="450" spans="1:22" ht="16.8" x14ac:dyDescent="0.3">
      <c r="A450" s="20">
        <v>45</v>
      </c>
      <c r="B450" s="20">
        <v>66.47</v>
      </c>
      <c r="C450" s="20">
        <v>65</v>
      </c>
      <c r="D450" s="20">
        <v>-1.47</v>
      </c>
      <c r="E450" s="20">
        <v>0.02</v>
      </c>
      <c r="F450" s="20">
        <v>1596.24</v>
      </c>
      <c r="Q450" s="20">
        <v>44.9</v>
      </c>
      <c r="R450" s="20">
        <v>65</v>
      </c>
      <c r="S450" s="20">
        <v>65.31</v>
      </c>
      <c r="T450" s="20">
        <v>-0.31</v>
      </c>
      <c r="U450" s="20">
        <v>0.01</v>
      </c>
      <c r="V450" s="20">
        <v>1642.54</v>
      </c>
    </row>
    <row r="451" spans="1:22" ht="16.8" x14ac:dyDescent="0.3">
      <c r="A451" s="20">
        <v>45.1</v>
      </c>
      <c r="B451" s="20">
        <v>66.47</v>
      </c>
      <c r="C451" s="20">
        <v>65</v>
      </c>
      <c r="D451" s="20">
        <v>-1.47</v>
      </c>
      <c r="E451" s="20">
        <v>0</v>
      </c>
      <c r="F451" s="20">
        <v>1576.18</v>
      </c>
      <c r="Q451" s="25">
        <v>45</v>
      </c>
      <c r="R451" s="20">
        <v>65</v>
      </c>
      <c r="S451" s="20">
        <v>65.239999999999995</v>
      </c>
      <c r="T451" s="20">
        <v>-0.24</v>
      </c>
      <c r="U451" s="20">
        <v>7.0000000000000007E-2</v>
      </c>
      <c r="V451" s="20">
        <v>1681.06</v>
      </c>
    </row>
    <row r="452" spans="1:22" ht="16.8" x14ac:dyDescent="0.3">
      <c r="A452" s="20">
        <v>45.2</v>
      </c>
      <c r="B452" s="20">
        <v>66.41</v>
      </c>
      <c r="C452" s="20">
        <v>65</v>
      </c>
      <c r="D452" s="20">
        <v>-1.41</v>
      </c>
      <c r="E452" s="20">
        <v>0.06</v>
      </c>
      <c r="F452" s="20">
        <v>1621.51</v>
      </c>
      <c r="Q452" s="25">
        <v>45.1</v>
      </c>
      <c r="R452" s="20">
        <v>65</v>
      </c>
      <c r="S452" s="20">
        <v>65.27</v>
      </c>
      <c r="T452" s="20">
        <v>-0.27</v>
      </c>
      <c r="U452" s="20">
        <v>-0.03</v>
      </c>
      <c r="V452" s="20">
        <v>1666.57</v>
      </c>
    </row>
    <row r="453" spans="1:22" ht="16.8" x14ac:dyDescent="0.3">
      <c r="A453" s="20">
        <v>45.3</v>
      </c>
      <c r="B453" s="20">
        <v>66.430000000000007</v>
      </c>
      <c r="C453" s="20">
        <v>65</v>
      </c>
      <c r="D453" s="20">
        <v>-1.43</v>
      </c>
      <c r="E453" s="20">
        <v>-0.02</v>
      </c>
      <c r="F453" s="20">
        <v>1567.91</v>
      </c>
      <c r="Q453" s="20">
        <v>45.2</v>
      </c>
      <c r="R453" s="20">
        <v>65</v>
      </c>
      <c r="S453" s="20">
        <v>65.239999999999995</v>
      </c>
      <c r="T453" s="20">
        <v>-0.24</v>
      </c>
      <c r="U453" s="20">
        <v>0.03</v>
      </c>
      <c r="V453" s="20">
        <v>1683.11</v>
      </c>
    </row>
    <row r="454" spans="1:22" ht="16.8" x14ac:dyDescent="0.3">
      <c r="A454" s="20">
        <v>45.4</v>
      </c>
      <c r="B454" s="20">
        <v>66.45</v>
      </c>
      <c r="C454" s="20">
        <v>65</v>
      </c>
      <c r="D454" s="20">
        <v>-1.45</v>
      </c>
      <c r="E454" s="20">
        <v>-0.02</v>
      </c>
      <c r="F454" s="20">
        <v>1561.85</v>
      </c>
      <c r="Q454" s="25">
        <v>45.3</v>
      </c>
      <c r="R454" s="20">
        <v>65</v>
      </c>
      <c r="S454" s="20">
        <v>65.239999999999995</v>
      </c>
      <c r="T454" s="20">
        <v>-0.24</v>
      </c>
      <c r="U454" s="20">
        <v>0</v>
      </c>
      <c r="V454" s="20">
        <v>1681.06</v>
      </c>
    </row>
    <row r="455" spans="1:22" ht="16.8" x14ac:dyDescent="0.3">
      <c r="A455" s="20">
        <v>45.5</v>
      </c>
      <c r="B455" s="20">
        <v>66.41</v>
      </c>
      <c r="C455" s="20">
        <v>65</v>
      </c>
      <c r="D455" s="20">
        <v>-1.41</v>
      </c>
      <c r="E455" s="20">
        <v>0.04</v>
      </c>
      <c r="F455" s="20">
        <v>1601.95</v>
      </c>
      <c r="Q455" s="25">
        <v>45.4</v>
      </c>
      <c r="R455" s="20">
        <v>65</v>
      </c>
      <c r="S455" s="20">
        <v>65.239999999999995</v>
      </c>
      <c r="T455" s="20">
        <v>-0.24</v>
      </c>
      <c r="U455" s="20">
        <v>0</v>
      </c>
      <c r="V455" s="20">
        <v>1681.06</v>
      </c>
    </row>
    <row r="456" spans="1:22" ht="16.8" x14ac:dyDescent="0.3">
      <c r="A456" s="20">
        <v>45.6</v>
      </c>
      <c r="B456" s="20">
        <v>66.38</v>
      </c>
      <c r="C456" s="20">
        <v>65</v>
      </c>
      <c r="D456" s="20">
        <v>-1.38</v>
      </c>
      <c r="E456" s="20">
        <v>0.02</v>
      </c>
      <c r="F456" s="20">
        <v>1591.95</v>
      </c>
      <c r="Q456" s="20">
        <v>45.5</v>
      </c>
      <c r="R456" s="20">
        <v>65</v>
      </c>
      <c r="S456" s="20">
        <v>65.22</v>
      </c>
      <c r="T456" s="20">
        <v>-0.22</v>
      </c>
      <c r="U456" s="20">
        <v>0.02</v>
      </c>
      <c r="V456" s="20">
        <v>1693.18</v>
      </c>
    </row>
    <row r="457" spans="1:22" ht="16.8" x14ac:dyDescent="0.3">
      <c r="A457" s="20">
        <v>45.7</v>
      </c>
      <c r="B457" s="20">
        <v>66.37</v>
      </c>
      <c r="C457" s="20">
        <v>65</v>
      </c>
      <c r="D457" s="20">
        <v>-1.37</v>
      </c>
      <c r="E457" s="20">
        <v>0.01</v>
      </c>
      <c r="F457" s="20">
        <v>1579.37</v>
      </c>
      <c r="Q457" s="25">
        <v>45.6</v>
      </c>
      <c r="R457" s="20">
        <v>65</v>
      </c>
      <c r="S457" s="20">
        <v>65.23</v>
      </c>
      <c r="T457" s="20">
        <v>-0.23</v>
      </c>
      <c r="U457" s="20">
        <v>-0.01</v>
      </c>
      <c r="V457" s="20">
        <v>1687.17</v>
      </c>
    </row>
    <row r="458" spans="1:22" ht="16.8" x14ac:dyDescent="0.3">
      <c r="A458" s="20">
        <v>45.8</v>
      </c>
      <c r="B458" s="20">
        <v>66.319999999999993</v>
      </c>
      <c r="C458" s="20">
        <v>65</v>
      </c>
      <c r="D458" s="20">
        <v>-1.32</v>
      </c>
      <c r="E458" s="20">
        <v>0.05</v>
      </c>
      <c r="F458" s="20">
        <v>1613.68</v>
      </c>
      <c r="Q458" s="20">
        <v>45.7</v>
      </c>
      <c r="R458" s="20">
        <v>65</v>
      </c>
      <c r="S458" s="20">
        <v>65.209999999999994</v>
      </c>
      <c r="T458" s="20">
        <v>-0.21</v>
      </c>
      <c r="U458" s="20">
        <v>0.02</v>
      </c>
      <c r="V458" s="20">
        <v>1695.15</v>
      </c>
    </row>
    <row r="459" spans="1:22" ht="16.8" x14ac:dyDescent="0.3">
      <c r="A459" s="20">
        <v>45.9</v>
      </c>
      <c r="B459" s="20">
        <v>66.3</v>
      </c>
      <c r="C459" s="20">
        <v>65</v>
      </c>
      <c r="D459" s="20">
        <v>-1.3</v>
      </c>
      <c r="E459" s="20">
        <v>0.02</v>
      </c>
      <c r="F459" s="20">
        <v>1595.95</v>
      </c>
      <c r="Q459" s="25">
        <v>45.8</v>
      </c>
      <c r="R459" s="20">
        <v>65</v>
      </c>
      <c r="S459" s="20">
        <v>65.209999999999994</v>
      </c>
      <c r="T459" s="20">
        <v>-0.21</v>
      </c>
      <c r="U459" s="20">
        <v>0.01</v>
      </c>
      <c r="V459" s="20">
        <v>1699.07</v>
      </c>
    </row>
    <row r="460" spans="1:22" ht="16.8" x14ac:dyDescent="0.3">
      <c r="A460" s="20">
        <v>46</v>
      </c>
      <c r="B460" s="20">
        <v>66.319999999999993</v>
      </c>
      <c r="C460" s="20">
        <v>65</v>
      </c>
      <c r="D460" s="20">
        <v>-1.32</v>
      </c>
      <c r="E460" s="20">
        <v>-0.02</v>
      </c>
      <c r="F460" s="20">
        <v>1557.18</v>
      </c>
      <c r="Q460" s="20">
        <v>45.9</v>
      </c>
      <c r="R460" s="20">
        <v>65</v>
      </c>
      <c r="S460" s="20">
        <v>65.19</v>
      </c>
      <c r="T460" s="20">
        <v>-0.19</v>
      </c>
      <c r="U460" s="20">
        <v>0.02</v>
      </c>
      <c r="V460" s="20">
        <v>1706.98</v>
      </c>
    </row>
    <row r="461" spans="1:22" ht="16.8" x14ac:dyDescent="0.3">
      <c r="A461" s="20">
        <v>46.1</v>
      </c>
      <c r="B461" s="20">
        <v>66.290000000000006</v>
      </c>
      <c r="C461" s="20">
        <v>65</v>
      </c>
      <c r="D461" s="20">
        <v>-1.29</v>
      </c>
      <c r="E461" s="20">
        <v>0.03</v>
      </c>
      <c r="F461" s="20">
        <v>1596.26</v>
      </c>
      <c r="Q461" s="25">
        <v>46</v>
      </c>
      <c r="R461" s="20">
        <v>65</v>
      </c>
      <c r="S461" s="20">
        <v>65.19</v>
      </c>
      <c r="T461" s="20">
        <v>-0.19</v>
      </c>
      <c r="U461" s="20">
        <v>0</v>
      </c>
      <c r="V461" s="20">
        <v>1708.94</v>
      </c>
    </row>
    <row r="462" spans="1:22" ht="16.8" x14ac:dyDescent="0.3">
      <c r="A462" s="20">
        <v>46.2</v>
      </c>
      <c r="B462" s="20">
        <v>66.28</v>
      </c>
      <c r="C462" s="20">
        <v>65</v>
      </c>
      <c r="D462" s="20">
        <v>-1.28</v>
      </c>
      <c r="E462" s="20">
        <v>0.01</v>
      </c>
      <c r="F462" s="20">
        <v>1581.92</v>
      </c>
      <c r="Q462" s="25">
        <v>46.1</v>
      </c>
      <c r="R462" s="20">
        <v>65</v>
      </c>
      <c r="S462" s="20">
        <v>65.22</v>
      </c>
      <c r="T462" s="20">
        <v>-0.22</v>
      </c>
      <c r="U462" s="20">
        <v>-0.04</v>
      </c>
      <c r="V462" s="20">
        <v>1691.18</v>
      </c>
    </row>
    <row r="463" spans="1:22" ht="16.8" x14ac:dyDescent="0.3">
      <c r="A463" s="20">
        <v>46.3</v>
      </c>
      <c r="B463" s="20">
        <v>66.27</v>
      </c>
      <c r="C463" s="20">
        <v>65</v>
      </c>
      <c r="D463" s="20">
        <v>-1.27</v>
      </c>
      <c r="E463" s="20">
        <v>0.01</v>
      </c>
      <c r="F463" s="20">
        <v>1577.53</v>
      </c>
      <c r="Q463" s="20">
        <v>46.2</v>
      </c>
      <c r="R463" s="20">
        <v>65</v>
      </c>
      <c r="S463" s="20">
        <v>65.23</v>
      </c>
      <c r="T463" s="20">
        <v>-0.23</v>
      </c>
      <c r="U463" s="20">
        <v>-0.01</v>
      </c>
      <c r="V463" s="20">
        <v>1687.17</v>
      </c>
    </row>
    <row r="464" spans="1:22" ht="16.8" x14ac:dyDescent="0.3">
      <c r="A464" s="20">
        <v>46.4</v>
      </c>
      <c r="B464" s="20">
        <v>66.25</v>
      </c>
      <c r="C464" s="20">
        <v>65</v>
      </c>
      <c r="D464" s="20">
        <v>-1.25</v>
      </c>
      <c r="E464" s="20">
        <v>0.02</v>
      </c>
      <c r="F464" s="20">
        <v>1589.01</v>
      </c>
      <c r="Q464" s="25">
        <v>46.3</v>
      </c>
      <c r="R464" s="20">
        <v>65</v>
      </c>
      <c r="S464" s="20">
        <v>65.19</v>
      </c>
      <c r="T464" s="20">
        <v>-0.19</v>
      </c>
      <c r="U464" s="20">
        <v>0.04</v>
      </c>
      <c r="V464" s="20">
        <v>1705.01</v>
      </c>
    </row>
    <row r="465" spans="1:22" ht="16.8" x14ac:dyDescent="0.3">
      <c r="A465" s="20">
        <v>46.5</v>
      </c>
      <c r="B465" s="20">
        <v>66.19</v>
      </c>
      <c r="C465" s="20">
        <v>65</v>
      </c>
      <c r="D465" s="20">
        <v>-1.19</v>
      </c>
      <c r="E465" s="20">
        <v>0.05</v>
      </c>
      <c r="F465" s="20">
        <v>1613.05</v>
      </c>
      <c r="Q465" s="20">
        <v>46.4</v>
      </c>
      <c r="R465" s="20">
        <v>65</v>
      </c>
      <c r="S465" s="20">
        <v>65.209999999999994</v>
      </c>
      <c r="T465" s="20">
        <v>-0.21</v>
      </c>
      <c r="U465" s="20">
        <v>-0.02</v>
      </c>
      <c r="V465" s="20">
        <v>1695.15</v>
      </c>
    </row>
    <row r="466" spans="1:22" ht="16.8" x14ac:dyDescent="0.3">
      <c r="A466" s="20">
        <v>46.6</v>
      </c>
      <c r="B466" s="20">
        <v>66.22</v>
      </c>
      <c r="C466" s="20">
        <v>65</v>
      </c>
      <c r="D466" s="20">
        <v>-1.22</v>
      </c>
      <c r="E466" s="20">
        <v>-0.02</v>
      </c>
      <c r="F466" s="20">
        <v>1556.02</v>
      </c>
      <c r="Q466" s="25">
        <v>46.5</v>
      </c>
      <c r="R466" s="20">
        <v>65</v>
      </c>
      <c r="S466" s="20">
        <v>65.239999999999995</v>
      </c>
      <c r="T466" s="20">
        <v>-0.24</v>
      </c>
      <c r="U466" s="20">
        <v>-0.02</v>
      </c>
      <c r="V466" s="20">
        <v>1683.11</v>
      </c>
    </row>
    <row r="467" spans="1:22" ht="16.8" x14ac:dyDescent="0.3">
      <c r="A467" s="20">
        <v>46.7</v>
      </c>
      <c r="B467" s="20">
        <v>66.2</v>
      </c>
      <c r="C467" s="20">
        <v>65</v>
      </c>
      <c r="D467" s="20">
        <v>-1.2</v>
      </c>
      <c r="E467" s="20">
        <v>0.02</v>
      </c>
      <c r="F467" s="20">
        <v>1582.18</v>
      </c>
      <c r="Q467" s="25">
        <v>46.6</v>
      </c>
      <c r="R467" s="20">
        <v>65</v>
      </c>
      <c r="S467" s="20">
        <v>65.22</v>
      </c>
      <c r="T467" s="20">
        <v>-0.22</v>
      </c>
      <c r="U467" s="20">
        <v>0.02</v>
      </c>
      <c r="V467" s="20">
        <v>1691.18</v>
      </c>
    </row>
    <row r="468" spans="1:22" ht="16.8" x14ac:dyDescent="0.3">
      <c r="A468" s="20">
        <v>46.8</v>
      </c>
      <c r="B468" s="20">
        <v>66.2</v>
      </c>
      <c r="C468" s="20">
        <v>65</v>
      </c>
      <c r="D468" s="20">
        <v>-1.2</v>
      </c>
      <c r="E468" s="20">
        <v>0</v>
      </c>
      <c r="F468" s="20">
        <v>1568.71</v>
      </c>
      <c r="Q468" s="20">
        <v>46.7</v>
      </c>
      <c r="R468" s="20">
        <v>65</v>
      </c>
      <c r="S468" s="20">
        <v>65.209999999999994</v>
      </c>
      <c r="T468" s="20">
        <v>-0.21</v>
      </c>
      <c r="U468" s="20">
        <v>0.01</v>
      </c>
      <c r="V468" s="20">
        <v>1695.15</v>
      </c>
    </row>
    <row r="469" spans="1:22" ht="16.8" x14ac:dyDescent="0.3">
      <c r="A469" s="20">
        <v>46.9</v>
      </c>
      <c r="B469" s="20">
        <v>66.14</v>
      </c>
      <c r="C469" s="20">
        <v>65</v>
      </c>
      <c r="D469" s="20">
        <v>-1.1399999999999999</v>
      </c>
      <c r="E469" s="20">
        <v>0.06</v>
      </c>
      <c r="F469" s="20">
        <v>1618.63</v>
      </c>
      <c r="Q469" s="25">
        <v>46.8</v>
      </c>
      <c r="R469" s="20">
        <v>65</v>
      </c>
      <c r="S469" s="20">
        <v>65.23</v>
      </c>
      <c r="T469" s="20">
        <v>-0.23</v>
      </c>
      <c r="U469" s="20">
        <v>-0.01</v>
      </c>
      <c r="V469" s="20">
        <v>1689.19</v>
      </c>
    </row>
    <row r="470" spans="1:22" ht="16.8" x14ac:dyDescent="0.3">
      <c r="A470" s="20">
        <v>47</v>
      </c>
      <c r="B470" s="20">
        <v>66.13</v>
      </c>
      <c r="C470" s="20">
        <v>65</v>
      </c>
      <c r="D470" s="20">
        <v>-1.1299999999999999</v>
      </c>
      <c r="E470" s="20">
        <v>0</v>
      </c>
      <c r="F470" s="20">
        <v>1576.92</v>
      </c>
      <c r="Q470" s="20">
        <v>46.9</v>
      </c>
      <c r="R470" s="20">
        <v>65</v>
      </c>
      <c r="S470" s="20">
        <v>65.260000000000005</v>
      </c>
      <c r="T470" s="20">
        <v>-0.26</v>
      </c>
      <c r="U470" s="20">
        <v>-0.03</v>
      </c>
      <c r="V470" s="20">
        <v>1672.81</v>
      </c>
    </row>
    <row r="471" spans="1:22" ht="16.8" x14ac:dyDescent="0.3">
      <c r="A471" s="20">
        <v>47.1</v>
      </c>
      <c r="B471" s="20">
        <v>66.099999999999994</v>
      </c>
      <c r="C471" s="20">
        <v>65</v>
      </c>
      <c r="D471" s="20">
        <v>-1.1000000000000001</v>
      </c>
      <c r="E471" s="20">
        <v>0.03</v>
      </c>
      <c r="F471" s="20">
        <v>1597.95</v>
      </c>
      <c r="Q471" s="25">
        <v>47</v>
      </c>
      <c r="R471" s="20">
        <v>65</v>
      </c>
      <c r="S471" s="20">
        <v>65.209999999999994</v>
      </c>
      <c r="T471" s="20">
        <v>-0.21</v>
      </c>
      <c r="U471" s="20">
        <v>0.04</v>
      </c>
      <c r="V471" s="20">
        <v>1695.15</v>
      </c>
    </row>
    <row r="472" spans="1:22" ht="16.8" x14ac:dyDescent="0.3">
      <c r="A472" s="20">
        <v>47.2</v>
      </c>
      <c r="B472" s="20">
        <v>66.05</v>
      </c>
      <c r="C472" s="20">
        <v>65</v>
      </c>
      <c r="D472" s="20">
        <v>-1.05</v>
      </c>
      <c r="E472" s="20">
        <v>0.05</v>
      </c>
      <c r="F472" s="20">
        <v>1617.06</v>
      </c>
      <c r="Q472" s="25">
        <v>47.1</v>
      </c>
      <c r="R472" s="20">
        <v>65</v>
      </c>
      <c r="S472" s="20">
        <v>65.209999999999994</v>
      </c>
      <c r="T472" s="20">
        <v>-0.21</v>
      </c>
      <c r="U472" s="20">
        <v>0.01</v>
      </c>
      <c r="V472" s="20">
        <v>1699.07</v>
      </c>
    </row>
    <row r="473" spans="1:22" ht="16.8" x14ac:dyDescent="0.3">
      <c r="A473" s="20">
        <v>47.3</v>
      </c>
      <c r="B473" s="20">
        <v>66.040000000000006</v>
      </c>
      <c r="C473" s="20">
        <v>65</v>
      </c>
      <c r="D473" s="20">
        <v>-1.04</v>
      </c>
      <c r="E473" s="20">
        <v>0.01</v>
      </c>
      <c r="F473" s="20">
        <v>1590.09</v>
      </c>
      <c r="Q473" s="20">
        <v>47.2</v>
      </c>
      <c r="R473" s="20">
        <v>65</v>
      </c>
      <c r="S473" s="20">
        <v>65.25</v>
      </c>
      <c r="T473" s="20">
        <v>-0.25</v>
      </c>
      <c r="U473" s="20">
        <v>-0.05</v>
      </c>
      <c r="V473" s="20">
        <v>1674.86</v>
      </c>
    </row>
    <row r="474" spans="1:22" ht="16.8" x14ac:dyDescent="0.3">
      <c r="A474" s="20">
        <v>47.4</v>
      </c>
      <c r="B474" s="20">
        <v>66.010000000000005</v>
      </c>
      <c r="C474" s="20">
        <v>65</v>
      </c>
      <c r="D474" s="20">
        <v>-1.01</v>
      </c>
      <c r="E474" s="20">
        <v>0.03</v>
      </c>
      <c r="F474" s="20">
        <v>1602.78</v>
      </c>
      <c r="Q474" s="25">
        <v>47.3</v>
      </c>
      <c r="R474" s="20">
        <v>65</v>
      </c>
      <c r="S474" s="20">
        <v>65.25</v>
      </c>
      <c r="T474" s="20">
        <v>-0.25</v>
      </c>
      <c r="U474" s="20">
        <v>0.01</v>
      </c>
      <c r="V474" s="20">
        <v>1678.99</v>
      </c>
    </row>
    <row r="475" spans="1:22" ht="16.8" x14ac:dyDescent="0.3">
      <c r="A475" s="20">
        <v>47.5</v>
      </c>
      <c r="B475" s="20">
        <v>65.97</v>
      </c>
      <c r="C475" s="20">
        <v>65</v>
      </c>
      <c r="D475" s="20">
        <v>-0.97</v>
      </c>
      <c r="E475" s="20">
        <v>0.04</v>
      </c>
      <c r="F475" s="20">
        <v>1614.85</v>
      </c>
      <c r="Q475" s="20">
        <v>47.4</v>
      </c>
      <c r="R475" s="20">
        <v>65</v>
      </c>
      <c r="S475" s="20">
        <v>65.239999999999995</v>
      </c>
      <c r="T475" s="20">
        <v>-0.24</v>
      </c>
      <c r="U475" s="20">
        <v>0</v>
      </c>
      <c r="V475" s="20">
        <v>1681.06</v>
      </c>
    </row>
    <row r="476" spans="1:22" ht="16.8" x14ac:dyDescent="0.3">
      <c r="A476" s="20">
        <v>47.6</v>
      </c>
      <c r="B476" s="20">
        <v>65.98</v>
      </c>
      <c r="C476" s="20">
        <v>65</v>
      </c>
      <c r="D476" s="20">
        <v>-0.98</v>
      </c>
      <c r="E476" s="20">
        <v>-0.02</v>
      </c>
      <c r="F476" s="20">
        <v>1572.91</v>
      </c>
      <c r="Q476" s="25">
        <v>47.5</v>
      </c>
      <c r="R476" s="20">
        <v>65</v>
      </c>
      <c r="S476" s="20">
        <v>65.239999999999995</v>
      </c>
      <c r="T476" s="20">
        <v>-0.24</v>
      </c>
      <c r="U476" s="20">
        <v>0</v>
      </c>
      <c r="V476" s="20">
        <v>1683.11</v>
      </c>
    </row>
    <row r="477" spans="1:22" ht="16.8" x14ac:dyDescent="0.3">
      <c r="A477" s="20">
        <v>47.7</v>
      </c>
      <c r="B477" s="20">
        <v>65.98</v>
      </c>
      <c r="C477" s="20">
        <v>65</v>
      </c>
      <c r="D477" s="20">
        <v>-0.98</v>
      </c>
      <c r="E477" s="20">
        <v>0</v>
      </c>
      <c r="F477" s="20">
        <v>1584.43</v>
      </c>
      <c r="Q477" s="25">
        <v>47.6</v>
      </c>
      <c r="R477" s="20">
        <v>65</v>
      </c>
      <c r="S477" s="20">
        <v>65.27</v>
      </c>
      <c r="T477" s="20">
        <v>-0.27</v>
      </c>
      <c r="U477" s="20">
        <v>-0.03</v>
      </c>
      <c r="V477" s="20">
        <v>1668.68</v>
      </c>
    </row>
    <row r="478" spans="1:22" ht="16.8" x14ac:dyDescent="0.3">
      <c r="A478" s="20">
        <v>47.8</v>
      </c>
      <c r="B478" s="20">
        <v>65.95</v>
      </c>
      <c r="C478" s="20">
        <v>65</v>
      </c>
      <c r="D478" s="20">
        <v>-0.95</v>
      </c>
      <c r="E478" s="20">
        <v>0.03</v>
      </c>
      <c r="F478" s="20">
        <v>1602.52</v>
      </c>
      <c r="Q478" s="20">
        <v>47.7</v>
      </c>
      <c r="R478" s="20">
        <v>65</v>
      </c>
      <c r="S478" s="20">
        <v>65.22</v>
      </c>
      <c r="T478" s="20">
        <v>-0.22</v>
      </c>
      <c r="U478" s="20">
        <v>0.04</v>
      </c>
      <c r="V478" s="20">
        <v>1691.18</v>
      </c>
    </row>
    <row r="479" spans="1:22" ht="16.8" x14ac:dyDescent="0.3">
      <c r="A479" s="20">
        <v>47.9</v>
      </c>
      <c r="B479" s="20">
        <v>65.930000000000007</v>
      </c>
      <c r="C479" s="20">
        <v>65</v>
      </c>
      <c r="D479" s="20">
        <v>-0.93</v>
      </c>
      <c r="E479" s="20">
        <v>0.02</v>
      </c>
      <c r="F479" s="20">
        <v>1601.53</v>
      </c>
      <c r="Q479" s="25">
        <v>47.8</v>
      </c>
      <c r="R479" s="20">
        <v>65</v>
      </c>
      <c r="S479" s="20">
        <v>65.260000000000005</v>
      </c>
      <c r="T479" s="20">
        <v>-0.26</v>
      </c>
      <c r="U479" s="20">
        <v>-0.04</v>
      </c>
      <c r="V479" s="20">
        <v>1672.81</v>
      </c>
    </row>
    <row r="480" spans="1:22" ht="16.8" x14ac:dyDescent="0.3">
      <c r="A480" s="20">
        <v>48</v>
      </c>
      <c r="B480" s="20">
        <v>65.930000000000007</v>
      </c>
      <c r="C480" s="20">
        <v>65</v>
      </c>
      <c r="D480" s="20">
        <v>-0.93</v>
      </c>
      <c r="E480" s="20">
        <v>0</v>
      </c>
      <c r="F480" s="20">
        <v>1580.16</v>
      </c>
      <c r="Q480" s="20">
        <v>47.9</v>
      </c>
      <c r="R480" s="20">
        <v>65</v>
      </c>
      <c r="S480" s="20">
        <v>65.290000000000006</v>
      </c>
      <c r="T480" s="20">
        <v>-0.28999999999999998</v>
      </c>
      <c r="U480" s="20">
        <v>-0.03</v>
      </c>
      <c r="V480" s="20">
        <v>1655.84</v>
      </c>
    </row>
    <row r="481" spans="1:22" ht="16.8" x14ac:dyDescent="0.3">
      <c r="A481" s="20">
        <v>48.1</v>
      </c>
      <c r="B481" s="20">
        <v>65.92</v>
      </c>
      <c r="C481" s="20">
        <v>65</v>
      </c>
      <c r="D481" s="20">
        <v>-0.92</v>
      </c>
      <c r="E481" s="20">
        <v>0.01</v>
      </c>
      <c r="F481" s="20">
        <v>1587.16</v>
      </c>
      <c r="Q481" s="25">
        <v>48</v>
      </c>
      <c r="R481" s="20">
        <v>65</v>
      </c>
      <c r="S481" s="20">
        <v>65.28</v>
      </c>
      <c r="T481" s="20">
        <v>-0.28000000000000003</v>
      </c>
      <c r="U481" s="20">
        <v>0.01</v>
      </c>
      <c r="V481" s="20">
        <v>1660.19</v>
      </c>
    </row>
    <row r="482" spans="1:22" ht="16.8" x14ac:dyDescent="0.3">
      <c r="A482" s="20">
        <v>48.2</v>
      </c>
      <c r="B482" s="20">
        <v>65.92</v>
      </c>
      <c r="C482" s="20">
        <v>65</v>
      </c>
      <c r="D482" s="20">
        <v>-0.92</v>
      </c>
      <c r="E482" s="20">
        <v>0.01</v>
      </c>
      <c r="F482" s="20">
        <v>1586.26</v>
      </c>
      <c r="Q482" s="25">
        <v>48.1</v>
      </c>
      <c r="R482" s="20">
        <v>65</v>
      </c>
      <c r="S482" s="20">
        <v>65.27</v>
      </c>
      <c r="T482" s="20">
        <v>-0.27</v>
      </c>
      <c r="U482" s="20">
        <v>0.01</v>
      </c>
      <c r="V482" s="20">
        <v>1664.47</v>
      </c>
    </row>
    <row r="483" spans="1:22" ht="16.8" x14ac:dyDescent="0.3">
      <c r="A483" s="20">
        <v>48.3</v>
      </c>
      <c r="B483" s="20">
        <v>65.88</v>
      </c>
      <c r="C483" s="20">
        <v>65</v>
      </c>
      <c r="D483" s="20">
        <v>-0.88</v>
      </c>
      <c r="E483" s="20">
        <v>0.04</v>
      </c>
      <c r="F483" s="20">
        <v>1608.49</v>
      </c>
      <c r="Q483" s="20">
        <v>48.2</v>
      </c>
      <c r="R483" s="20">
        <v>65</v>
      </c>
      <c r="S483" s="20">
        <v>65.290000000000006</v>
      </c>
      <c r="T483" s="20">
        <v>-0.28999999999999998</v>
      </c>
      <c r="U483" s="20">
        <v>-0.02</v>
      </c>
      <c r="V483" s="20">
        <v>1653.64</v>
      </c>
    </row>
    <row r="484" spans="1:22" ht="16.8" x14ac:dyDescent="0.3">
      <c r="A484" s="20">
        <v>48.4</v>
      </c>
      <c r="B484" s="20">
        <v>65.83</v>
      </c>
      <c r="C484" s="20">
        <v>65</v>
      </c>
      <c r="D484" s="20">
        <v>-0.83</v>
      </c>
      <c r="E484" s="20">
        <v>0.05</v>
      </c>
      <c r="F484" s="20">
        <v>1625.48</v>
      </c>
      <c r="Q484" s="25">
        <v>48.3</v>
      </c>
      <c r="R484" s="20">
        <v>65</v>
      </c>
      <c r="S484" s="20">
        <v>65.27</v>
      </c>
      <c r="T484" s="20">
        <v>-0.27</v>
      </c>
      <c r="U484" s="20">
        <v>0.02</v>
      </c>
      <c r="V484" s="20">
        <v>1664.47</v>
      </c>
    </row>
    <row r="485" spans="1:22" ht="16.8" x14ac:dyDescent="0.3">
      <c r="A485" s="20">
        <v>48.5</v>
      </c>
      <c r="B485" s="20">
        <v>65.86</v>
      </c>
      <c r="C485" s="20">
        <v>65</v>
      </c>
      <c r="D485" s="20">
        <v>-0.86</v>
      </c>
      <c r="E485" s="20">
        <v>-0.03</v>
      </c>
      <c r="F485" s="20">
        <v>1562.75</v>
      </c>
      <c r="Q485" s="20">
        <v>48.4</v>
      </c>
      <c r="R485" s="20">
        <v>65</v>
      </c>
      <c r="S485" s="20">
        <v>65.27</v>
      </c>
      <c r="T485" s="20">
        <v>-0.27</v>
      </c>
      <c r="U485" s="20">
        <v>0</v>
      </c>
      <c r="V485" s="20">
        <v>1666.57</v>
      </c>
    </row>
    <row r="486" spans="1:22" ht="16.8" x14ac:dyDescent="0.3">
      <c r="A486" s="20">
        <v>48.6</v>
      </c>
      <c r="B486" s="20">
        <v>65.790000000000006</v>
      </c>
      <c r="C486" s="20">
        <v>65</v>
      </c>
      <c r="D486" s="20">
        <v>-0.79</v>
      </c>
      <c r="E486" s="20">
        <v>0.06</v>
      </c>
      <c r="F486" s="20">
        <v>1634.62</v>
      </c>
      <c r="Q486" s="25">
        <v>48.5</v>
      </c>
      <c r="R486" s="20">
        <v>65</v>
      </c>
      <c r="S486" s="20">
        <v>65.27</v>
      </c>
      <c r="T486" s="20">
        <v>-0.27</v>
      </c>
      <c r="U486" s="20">
        <v>0</v>
      </c>
      <c r="V486" s="20">
        <v>1668.68</v>
      </c>
    </row>
    <row r="487" spans="1:22" ht="16.8" x14ac:dyDescent="0.3">
      <c r="A487" s="20">
        <v>48.7</v>
      </c>
      <c r="B487" s="20">
        <v>65.819999999999993</v>
      </c>
      <c r="C487" s="20">
        <v>65</v>
      </c>
      <c r="D487" s="20">
        <v>-0.82</v>
      </c>
      <c r="E487" s="20">
        <v>-0.03</v>
      </c>
      <c r="F487" s="20">
        <v>1567.34</v>
      </c>
      <c r="Q487" s="20">
        <v>48.6</v>
      </c>
      <c r="R487" s="20">
        <v>65</v>
      </c>
      <c r="S487" s="20">
        <v>65.27</v>
      </c>
      <c r="T487" s="20">
        <v>-0.27</v>
      </c>
      <c r="U487" s="20">
        <v>-0.01</v>
      </c>
      <c r="V487" s="20">
        <v>1664.47</v>
      </c>
    </row>
    <row r="488" spans="1:22" ht="16.8" x14ac:dyDescent="0.3">
      <c r="A488" s="20">
        <v>48.8</v>
      </c>
      <c r="B488" s="20">
        <v>65.83</v>
      </c>
      <c r="C488" s="20">
        <v>65</v>
      </c>
      <c r="D488" s="20">
        <v>-0.83</v>
      </c>
      <c r="E488" s="20">
        <v>-0.01</v>
      </c>
      <c r="F488" s="20">
        <v>1577.26</v>
      </c>
      <c r="Q488" s="25">
        <v>48.7</v>
      </c>
      <c r="R488" s="20">
        <v>65</v>
      </c>
      <c r="S488" s="20">
        <v>65.22</v>
      </c>
      <c r="T488" s="20">
        <v>-0.22</v>
      </c>
      <c r="U488" s="20">
        <v>0.05</v>
      </c>
      <c r="V488" s="20">
        <v>1691.18</v>
      </c>
    </row>
    <row r="489" spans="1:22" ht="16.8" x14ac:dyDescent="0.3">
      <c r="A489" s="20">
        <v>48.9</v>
      </c>
      <c r="B489" s="20">
        <v>65.81</v>
      </c>
      <c r="C489" s="20">
        <v>65</v>
      </c>
      <c r="D489" s="20">
        <v>-0.81</v>
      </c>
      <c r="E489" s="20">
        <v>0.02</v>
      </c>
      <c r="F489" s="20">
        <v>1593.75</v>
      </c>
      <c r="Q489" s="25">
        <v>48.8</v>
      </c>
      <c r="R489" s="20">
        <v>65</v>
      </c>
      <c r="S489" s="20">
        <v>65.260000000000005</v>
      </c>
      <c r="T489" s="20">
        <v>-0.26</v>
      </c>
      <c r="U489" s="20">
        <v>-0.04</v>
      </c>
      <c r="V489" s="20">
        <v>1672.81</v>
      </c>
    </row>
    <row r="490" spans="1:22" ht="16.8" x14ac:dyDescent="0.3">
      <c r="A490" s="20">
        <v>49</v>
      </c>
      <c r="B490" s="20">
        <v>65.81</v>
      </c>
      <c r="C490" s="20">
        <v>65</v>
      </c>
      <c r="D490" s="20">
        <v>-0.81</v>
      </c>
      <c r="E490" s="20">
        <v>0</v>
      </c>
      <c r="F490" s="20">
        <v>1584.53</v>
      </c>
      <c r="Q490" s="20">
        <v>48.9</v>
      </c>
      <c r="R490" s="20">
        <v>65</v>
      </c>
      <c r="S490" s="20">
        <v>65.27</v>
      </c>
      <c r="T490" s="20">
        <v>-0.27</v>
      </c>
      <c r="U490" s="20">
        <v>-0.01</v>
      </c>
      <c r="V490" s="20">
        <v>1668.68</v>
      </c>
    </row>
    <row r="491" spans="1:22" ht="16.8" x14ac:dyDescent="0.3">
      <c r="A491" s="20">
        <v>49.1</v>
      </c>
      <c r="B491" s="20">
        <v>65.790000000000006</v>
      </c>
      <c r="C491" s="20">
        <v>65</v>
      </c>
      <c r="D491" s="20">
        <v>-0.79</v>
      </c>
      <c r="E491" s="20">
        <v>0.02</v>
      </c>
      <c r="F491" s="20">
        <v>1599.74</v>
      </c>
      <c r="Q491" s="25">
        <v>49</v>
      </c>
      <c r="R491" s="20">
        <v>65</v>
      </c>
      <c r="S491" s="20">
        <v>65.209999999999994</v>
      </c>
      <c r="T491" s="20">
        <v>-0.21</v>
      </c>
      <c r="U491" s="20">
        <v>0.05</v>
      </c>
      <c r="V491" s="20">
        <v>1695.15</v>
      </c>
    </row>
    <row r="492" spans="1:22" ht="16.8" x14ac:dyDescent="0.3">
      <c r="A492" s="20">
        <v>49.2</v>
      </c>
      <c r="B492" s="20">
        <v>65.790000000000006</v>
      </c>
      <c r="C492" s="20">
        <v>65</v>
      </c>
      <c r="D492" s="20">
        <v>-0.79</v>
      </c>
      <c r="E492" s="20">
        <v>-0.01</v>
      </c>
      <c r="F492" s="20">
        <v>1575.4</v>
      </c>
      <c r="Q492" s="20">
        <v>49.1</v>
      </c>
      <c r="R492" s="20">
        <v>65</v>
      </c>
      <c r="S492" s="20">
        <v>65.27</v>
      </c>
      <c r="T492" s="20">
        <v>-0.27</v>
      </c>
      <c r="U492" s="20">
        <v>-0.05</v>
      </c>
      <c r="V492" s="20">
        <v>1668.68</v>
      </c>
    </row>
    <row r="493" spans="1:22" ht="16.8" x14ac:dyDescent="0.3">
      <c r="A493" s="20">
        <v>49.3</v>
      </c>
      <c r="B493" s="20">
        <v>65.77</v>
      </c>
      <c r="C493" s="20">
        <v>65</v>
      </c>
      <c r="D493" s="20">
        <v>-0.77</v>
      </c>
      <c r="E493" s="20">
        <v>0.02</v>
      </c>
      <c r="F493" s="20">
        <v>1595.27</v>
      </c>
      <c r="Q493" s="25">
        <v>49.2</v>
      </c>
      <c r="R493" s="20">
        <v>65</v>
      </c>
      <c r="S493" s="20">
        <v>65.209999999999994</v>
      </c>
      <c r="T493" s="20">
        <v>-0.21</v>
      </c>
      <c r="U493" s="20">
        <v>0.06</v>
      </c>
      <c r="V493" s="20">
        <v>1697.11</v>
      </c>
    </row>
    <row r="494" spans="1:22" ht="16.8" x14ac:dyDescent="0.3">
      <c r="A494" s="20">
        <v>49.4</v>
      </c>
      <c r="B494" s="20">
        <v>65.760000000000005</v>
      </c>
      <c r="C494" s="20">
        <v>65</v>
      </c>
      <c r="D494" s="20">
        <v>-0.76</v>
      </c>
      <c r="E494" s="20">
        <v>0.02</v>
      </c>
      <c r="F494" s="20">
        <v>1593.41</v>
      </c>
      <c r="Q494" s="25">
        <v>49.3</v>
      </c>
      <c r="R494" s="20">
        <v>65</v>
      </c>
      <c r="S494" s="20">
        <v>65.27</v>
      </c>
      <c r="T494" s="20">
        <v>-0.27</v>
      </c>
      <c r="U494" s="20">
        <v>-0.06</v>
      </c>
      <c r="V494" s="20">
        <v>1668.68</v>
      </c>
    </row>
    <row r="495" spans="1:22" ht="16.8" x14ac:dyDescent="0.3">
      <c r="A495" s="20">
        <v>49.5</v>
      </c>
      <c r="B495" s="20">
        <v>65.75</v>
      </c>
      <c r="C495" s="20">
        <v>65</v>
      </c>
      <c r="D495" s="20">
        <v>-0.75</v>
      </c>
      <c r="E495" s="20">
        <v>0.01</v>
      </c>
      <c r="F495" s="20">
        <v>1587.61</v>
      </c>
      <c r="Q495" s="20">
        <v>49.4</v>
      </c>
      <c r="R495" s="20">
        <v>65</v>
      </c>
      <c r="S495" s="20">
        <v>65.25</v>
      </c>
      <c r="T495" s="20">
        <v>-0.25</v>
      </c>
      <c r="U495" s="20">
        <v>0.01</v>
      </c>
      <c r="V495" s="20">
        <v>1674.86</v>
      </c>
    </row>
    <row r="496" spans="1:22" ht="16.8" x14ac:dyDescent="0.3">
      <c r="A496" s="20">
        <v>49.6</v>
      </c>
      <c r="B496" s="20">
        <v>65.760000000000005</v>
      </c>
      <c r="C496" s="20">
        <v>65</v>
      </c>
      <c r="D496" s="20">
        <v>-0.76</v>
      </c>
      <c r="E496" s="20">
        <v>-0.01</v>
      </c>
      <c r="F496" s="20">
        <v>1573.93</v>
      </c>
      <c r="Q496" s="25">
        <v>49.5</v>
      </c>
      <c r="R496" s="20">
        <v>65</v>
      </c>
      <c r="S496" s="20">
        <v>65.25</v>
      </c>
      <c r="T496" s="20">
        <v>-0.25</v>
      </c>
      <c r="U496" s="20">
        <v>0</v>
      </c>
      <c r="V496" s="20">
        <v>1676.92</v>
      </c>
    </row>
    <row r="497" spans="1:22" ht="16.8" x14ac:dyDescent="0.3">
      <c r="A497" s="20">
        <v>49.7</v>
      </c>
      <c r="B497" s="20">
        <v>65.739999999999995</v>
      </c>
      <c r="C497" s="20">
        <v>65</v>
      </c>
      <c r="D497" s="20">
        <v>-0.74</v>
      </c>
      <c r="E497" s="20">
        <v>0.02</v>
      </c>
      <c r="F497" s="20">
        <v>1593.91</v>
      </c>
      <c r="Q497" s="20">
        <v>49.6</v>
      </c>
      <c r="R497" s="20">
        <v>65</v>
      </c>
      <c r="S497" s="20">
        <v>65.23</v>
      </c>
      <c r="T497" s="20">
        <v>-0.23</v>
      </c>
      <c r="U497" s="20">
        <v>0.02</v>
      </c>
      <c r="V497" s="20">
        <v>1687.17</v>
      </c>
    </row>
    <row r="498" spans="1:22" ht="16.8" x14ac:dyDescent="0.3">
      <c r="A498" s="20">
        <v>49.8</v>
      </c>
      <c r="B498" s="20">
        <v>65.739999999999995</v>
      </c>
      <c r="C498" s="20">
        <v>65</v>
      </c>
      <c r="D498" s="20">
        <v>-0.74</v>
      </c>
      <c r="E498" s="20">
        <v>0</v>
      </c>
      <c r="F498" s="20">
        <v>1575.6</v>
      </c>
      <c r="Q498" s="25">
        <v>49.7</v>
      </c>
      <c r="R498" s="20">
        <v>65</v>
      </c>
      <c r="S498" s="20">
        <v>65.23</v>
      </c>
      <c r="T498" s="20">
        <v>-0.23</v>
      </c>
      <c r="U498" s="20">
        <v>0</v>
      </c>
      <c r="V498" s="20">
        <v>1689.19</v>
      </c>
    </row>
    <row r="499" spans="1:22" ht="16.8" x14ac:dyDescent="0.3">
      <c r="A499" s="20">
        <v>49.9</v>
      </c>
      <c r="B499" s="20">
        <v>65.72</v>
      </c>
      <c r="C499" s="20">
        <v>65</v>
      </c>
      <c r="D499" s="20">
        <v>-0.72</v>
      </c>
      <c r="E499" s="20">
        <v>0.02</v>
      </c>
      <c r="F499" s="20">
        <v>1596.28</v>
      </c>
      <c r="Q499" s="20">
        <v>49.8</v>
      </c>
      <c r="R499" s="20">
        <v>65</v>
      </c>
      <c r="S499" s="20">
        <v>65.260000000000005</v>
      </c>
      <c r="T499" s="20">
        <v>-0.26</v>
      </c>
      <c r="U499" s="20">
        <v>-0.04</v>
      </c>
      <c r="V499" s="20">
        <v>1670.75</v>
      </c>
    </row>
    <row r="500" spans="1:22" ht="16.8" x14ac:dyDescent="0.3">
      <c r="A500" s="20">
        <v>50</v>
      </c>
      <c r="B500" s="20">
        <v>65.69</v>
      </c>
      <c r="C500" s="20">
        <v>65</v>
      </c>
      <c r="D500" s="20">
        <v>-0.69</v>
      </c>
      <c r="E500" s="20">
        <v>0.03</v>
      </c>
      <c r="F500" s="20">
        <v>1605.09</v>
      </c>
      <c r="Q500" s="25">
        <v>49.9</v>
      </c>
      <c r="R500" s="20">
        <v>65</v>
      </c>
      <c r="S500" s="20">
        <v>65.25</v>
      </c>
      <c r="T500" s="20">
        <v>-0.25</v>
      </c>
      <c r="U500" s="20">
        <v>0.01</v>
      </c>
      <c r="V500" s="20">
        <v>1676.92</v>
      </c>
    </row>
    <row r="501" spans="1:22" ht="16.8" x14ac:dyDescent="0.3">
      <c r="A501" s="20">
        <v>50.1</v>
      </c>
      <c r="B501" s="20">
        <v>65.69</v>
      </c>
      <c r="C501" s="20">
        <v>65</v>
      </c>
      <c r="D501" s="20">
        <v>-0.69</v>
      </c>
      <c r="E501" s="20">
        <v>0</v>
      </c>
      <c r="F501" s="20">
        <v>1579</v>
      </c>
      <c r="Q501" s="25">
        <v>50</v>
      </c>
      <c r="R501" s="20">
        <v>65</v>
      </c>
      <c r="S501" s="20">
        <v>65.239999999999995</v>
      </c>
      <c r="T501" s="20">
        <v>-0.24</v>
      </c>
      <c r="U501" s="20">
        <v>0.01</v>
      </c>
      <c r="V501" s="20">
        <v>1683.11</v>
      </c>
    </row>
    <row r="502" spans="1:22" ht="16.8" x14ac:dyDescent="0.3">
      <c r="A502" s="20">
        <v>50.2</v>
      </c>
      <c r="B502" s="20">
        <v>65.680000000000007</v>
      </c>
      <c r="C502" s="20">
        <v>65</v>
      </c>
      <c r="D502" s="20">
        <v>-0.68</v>
      </c>
      <c r="E502" s="20">
        <v>0.01</v>
      </c>
      <c r="F502" s="20">
        <v>1586.59</v>
      </c>
      <c r="Q502" s="20">
        <v>50.1</v>
      </c>
      <c r="R502" s="20">
        <v>65</v>
      </c>
      <c r="S502" s="20">
        <v>65.27</v>
      </c>
      <c r="T502" s="20">
        <v>-0.27</v>
      </c>
      <c r="U502" s="20">
        <v>-0.04</v>
      </c>
      <c r="V502" s="20">
        <v>1664.47</v>
      </c>
    </row>
    <row r="503" spans="1:22" ht="16.8" x14ac:dyDescent="0.3">
      <c r="A503" s="20">
        <v>50.3</v>
      </c>
      <c r="B503" s="20">
        <v>65.67</v>
      </c>
      <c r="C503" s="20">
        <v>65</v>
      </c>
      <c r="D503" s="20">
        <v>-0.67</v>
      </c>
      <c r="E503" s="20">
        <v>0.01</v>
      </c>
      <c r="F503" s="20">
        <v>1589.58</v>
      </c>
      <c r="Q503" s="25">
        <v>50.2</v>
      </c>
      <c r="R503" s="20">
        <v>65</v>
      </c>
      <c r="S503" s="20">
        <v>65.27</v>
      </c>
      <c r="T503" s="20">
        <v>-0.27</v>
      </c>
      <c r="U503" s="20">
        <v>0.01</v>
      </c>
      <c r="V503" s="20">
        <v>1668.68</v>
      </c>
    </row>
    <row r="504" spans="1:22" ht="16.8" x14ac:dyDescent="0.3">
      <c r="A504" s="20">
        <v>50.4</v>
      </c>
      <c r="B504" s="20">
        <v>65.63</v>
      </c>
      <c r="C504" s="20">
        <v>65</v>
      </c>
      <c r="D504" s="20">
        <v>-0.63</v>
      </c>
      <c r="E504" s="20">
        <v>0.04</v>
      </c>
      <c r="F504" s="20">
        <v>1609.73</v>
      </c>
      <c r="Q504" s="20">
        <v>50.3</v>
      </c>
      <c r="R504" s="20">
        <v>65</v>
      </c>
      <c r="S504" s="20">
        <v>65.260000000000005</v>
      </c>
      <c r="T504" s="20">
        <v>-0.26</v>
      </c>
      <c r="U504" s="20">
        <v>0</v>
      </c>
      <c r="V504" s="20">
        <v>1670.75</v>
      </c>
    </row>
    <row r="505" spans="1:22" ht="16.8" x14ac:dyDescent="0.3">
      <c r="A505" s="20">
        <v>50.5</v>
      </c>
      <c r="B505" s="20">
        <v>65.680000000000007</v>
      </c>
      <c r="C505" s="20">
        <v>65</v>
      </c>
      <c r="D505" s="20">
        <v>-0.68</v>
      </c>
      <c r="E505" s="20">
        <v>-0.05</v>
      </c>
      <c r="F505" s="20">
        <v>1544.83</v>
      </c>
      <c r="Q505" s="25">
        <v>50.4</v>
      </c>
      <c r="R505" s="20">
        <v>65</v>
      </c>
      <c r="S505" s="20">
        <v>65.28</v>
      </c>
      <c r="T505" s="20">
        <v>-0.28000000000000003</v>
      </c>
      <c r="U505" s="20">
        <v>-0.02</v>
      </c>
      <c r="V505" s="20">
        <v>1660.19</v>
      </c>
    </row>
    <row r="506" spans="1:22" ht="16.8" x14ac:dyDescent="0.3">
      <c r="A506" s="20">
        <v>50.6</v>
      </c>
      <c r="B506" s="20">
        <v>65.62</v>
      </c>
      <c r="C506" s="20">
        <v>65</v>
      </c>
      <c r="D506" s="20">
        <v>-0.62</v>
      </c>
      <c r="E506" s="20">
        <v>0.06</v>
      </c>
      <c r="F506" s="20">
        <v>1624.42</v>
      </c>
      <c r="Q506" s="25">
        <v>50.5</v>
      </c>
      <c r="R506" s="20">
        <v>65</v>
      </c>
      <c r="S506" s="20">
        <v>65.25</v>
      </c>
      <c r="T506" s="20">
        <v>-0.25</v>
      </c>
      <c r="U506" s="20">
        <v>0.03</v>
      </c>
      <c r="V506" s="20">
        <v>1674.86</v>
      </c>
    </row>
    <row r="507" spans="1:22" ht="16.8" x14ac:dyDescent="0.3">
      <c r="A507" s="20">
        <v>50.7</v>
      </c>
      <c r="B507" s="20">
        <v>65.64</v>
      </c>
      <c r="C507" s="20">
        <v>65</v>
      </c>
      <c r="D507" s="20">
        <v>-0.64</v>
      </c>
      <c r="E507" s="20">
        <v>-0.02</v>
      </c>
      <c r="F507" s="20">
        <v>1570.08</v>
      </c>
      <c r="Q507" s="20">
        <v>50.6</v>
      </c>
      <c r="R507" s="20">
        <v>65</v>
      </c>
      <c r="S507" s="20">
        <v>65.27</v>
      </c>
      <c r="T507" s="20">
        <v>-0.27</v>
      </c>
      <c r="U507" s="20">
        <v>-0.01</v>
      </c>
      <c r="V507" s="20">
        <v>1668.68</v>
      </c>
    </row>
    <row r="508" spans="1:22" ht="16.8" x14ac:dyDescent="0.3">
      <c r="A508" s="20">
        <v>50.8</v>
      </c>
      <c r="B508" s="20">
        <v>65.64</v>
      </c>
      <c r="C508" s="20">
        <v>65</v>
      </c>
      <c r="D508" s="20">
        <v>-0.64</v>
      </c>
      <c r="E508" s="20">
        <v>0</v>
      </c>
      <c r="F508" s="20">
        <v>1579.12</v>
      </c>
      <c r="Q508" s="25">
        <v>50.7</v>
      </c>
      <c r="R508" s="20">
        <v>65</v>
      </c>
      <c r="S508" s="20">
        <v>65.260000000000005</v>
      </c>
      <c r="T508" s="20">
        <v>-0.26</v>
      </c>
      <c r="U508" s="20">
        <v>0</v>
      </c>
      <c r="V508" s="20">
        <v>1670.75</v>
      </c>
    </row>
    <row r="509" spans="1:22" ht="16.8" x14ac:dyDescent="0.3">
      <c r="A509" s="20">
        <v>50.9</v>
      </c>
      <c r="B509" s="20">
        <v>65.599999999999994</v>
      </c>
      <c r="C509" s="20">
        <v>65</v>
      </c>
      <c r="D509" s="20">
        <v>-0.6</v>
      </c>
      <c r="E509" s="20">
        <v>0.03</v>
      </c>
      <c r="F509" s="20">
        <v>1603.99</v>
      </c>
      <c r="Q509" s="20">
        <v>50.8</v>
      </c>
      <c r="R509" s="20">
        <v>65</v>
      </c>
      <c r="S509" s="20">
        <v>65.23</v>
      </c>
      <c r="T509" s="20">
        <v>-0.23</v>
      </c>
      <c r="U509" s="20">
        <v>0.03</v>
      </c>
      <c r="V509" s="20">
        <v>1685.16</v>
      </c>
    </row>
    <row r="510" spans="1:22" ht="16.8" x14ac:dyDescent="0.3">
      <c r="A510" s="20">
        <v>51</v>
      </c>
      <c r="B510" s="20">
        <v>65.680000000000007</v>
      </c>
      <c r="C510" s="20">
        <v>65</v>
      </c>
      <c r="D510" s="20">
        <v>-0.68</v>
      </c>
      <c r="E510" s="20">
        <v>-7.0000000000000007E-2</v>
      </c>
      <c r="F510" s="20">
        <v>1522</v>
      </c>
      <c r="Q510" s="25">
        <v>50.9</v>
      </c>
      <c r="R510" s="20">
        <v>65</v>
      </c>
      <c r="S510" s="20">
        <v>65.27</v>
      </c>
      <c r="T510" s="20">
        <v>-0.27</v>
      </c>
      <c r="U510" s="20">
        <v>-0.04</v>
      </c>
      <c r="V510" s="20">
        <v>1666.57</v>
      </c>
    </row>
    <row r="511" spans="1:22" ht="16.8" x14ac:dyDescent="0.3">
      <c r="A511" s="20">
        <v>51.1</v>
      </c>
      <c r="B511" s="20">
        <v>65.59</v>
      </c>
      <c r="C511" s="20">
        <v>65</v>
      </c>
      <c r="D511" s="20">
        <v>-0.59</v>
      </c>
      <c r="E511" s="20">
        <v>0.09</v>
      </c>
      <c r="F511" s="20">
        <v>1640.54</v>
      </c>
      <c r="Q511" s="25">
        <v>51</v>
      </c>
      <c r="R511" s="20">
        <v>65</v>
      </c>
      <c r="S511" s="20">
        <v>65.27</v>
      </c>
      <c r="T511" s="20">
        <v>-0.27</v>
      </c>
      <c r="U511" s="20">
        <v>0</v>
      </c>
      <c r="V511" s="20">
        <v>1664.47</v>
      </c>
    </row>
    <row r="512" spans="1:22" ht="16.8" x14ac:dyDescent="0.3">
      <c r="A512" s="20">
        <v>51.2</v>
      </c>
      <c r="B512" s="20">
        <v>65.599999999999994</v>
      </c>
      <c r="C512" s="20">
        <v>65</v>
      </c>
      <c r="D512" s="20">
        <v>-0.6</v>
      </c>
      <c r="E512" s="20">
        <v>-0.01</v>
      </c>
      <c r="F512" s="20">
        <v>1571.09</v>
      </c>
      <c r="Q512" s="20">
        <v>51.1</v>
      </c>
      <c r="R512" s="20">
        <v>65</v>
      </c>
      <c r="S512" s="20">
        <v>65.22</v>
      </c>
      <c r="T512" s="20">
        <v>-0.22</v>
      </c>
      <c r="U512" s="20">
        <v>0.05</v>
      </c>
      <c r="V512" s="20">
        <v>1691.18</v>
      </c>
    </row>
    <row r="513" spans="1:22" ht="16.8" x14ac:dyDescent="0.3">
      <c r="A513" s="20">
        <v>51.3</v>
      </c>
      <c r="B513" s="20">
        <v>65.59</v>
      </c>
      <c r="C513" s="20">
        <v>65</v>
      </c>
      <c r="D513" s="20">
        <v>-0.59</v>
      </c>
      <c r="E513" s="20">
        <v>0.01</v>
      </c>
      <c r="F513" s="20">
        <v>1587.47</v>
      </c>
      <c r="Q513" s="25">
        <v>51.2</v>
      </c>
      <c r="R513" s="20">
        <v>65</v>
      </c>
      <c r="S513" s="20">
        <v>65.25</v>
      </c>
      <c r="T513" s="20">
        <v>-0.25</v>
      </c>
      <c r="U513" s="20">
        <v>-0.03</v>
      </c>
      <c r="V513" s="20">
        <v>1676.92</v>
      </c>
    </row>
    <row r="514" spans="1:22" ht="16.8" x14ac:dyDescent="0.3">
      <c r="A514" s="20">
        <v>51.4</v>
      </c>
      <c r="B514" s="20">
        <v>65.56</v>
      </c>
      <c r="C514" s="20">
        <v>65</v>
      </c>
      <c r="D514" s="20">
        <v>-0.56000000000000005</v>
      </c>
      <c r="E514" s="20">
        <v>0.02</v>
      </c>
      <c r="F514" s="20">
        <v>1597.93</v>
      </c>
      <c r="Q514" s="20">
        <v>51.3</v>
      </c>
      <c r="R514" s="20">
        <v>65</v>
      </c>
      <c r="S514" s="20">
        <v>65.23</v>
      </c>
      <c r="T514" s="20">
        <v>-0.23</v>
      </c>
      <c r="U514" s="20">
        <v>0.02</v>
      </c>
      <c r="V514" s="20">
        <v>1685.16</v>
      </c>
    </row>
    <row r="515" spans="1:22" ht="16.8" x14ac:dyDescent="0.3">
      <c r="A515" s="20">
        <v>51.5</v>
      </c>
      <c r="B515" s="20">
        <v>65.540000000000006</v>
      </c>
      <c r="C515" s="20">
        <v>65</v>
      </c>
      <c r="D515" s="20">
        <v>-0.54</v>
      </c>
      <c r="E515" s="20">
        <v>0.02</v>
      </c>
      <c r="F515" s="20">
        <v>1597.22</v>
      </c>
      <c r="Q515" s="25">
        <v>51.4</v>
      </c>
      <c r="R515" s="20">
        <v>65</v>
      </c>
      <c r="S515" s="20">
        <v>65.27</v>
      </c>
      <c r="T515" s="20">
        <v>-0.27</v>
      </c>
      <c r="U515" s="20">
        <v>-0.04</v>
      </c>
      <c r="V515" s="20">
        <v>1664.47</v>
      </c>
    </row>
    <row r="516" spans="1:22" ht="16.8" x14ac:dyDescent="0.3">
      <c r="A516" s="20">
        <v>51.6</v>
      </c>
      <c r="B516" s="20">
        <v>65.540000000000006</v>
      </c>
      <c r="C516" s="20">
        <v>65</v>
      </c>
      <c r="D516" s="20">
        <v>-0.54</v>
      </c>
      <c r="E516" s="20">
        <v>0.01</v>
      </c>
      <c r="F516" s="20">
        <v>1589.31</v>
      </c>
      <c r="Q516" s="25">
        <v>51.5</v>
      </c>
      <c r="R516" s="20">
        <v>65</v>
      </c>
      <c r="S516" s="20">
        <v>65.239999999999995</v>
      </c>
      <c r="T516" s="20">
        <v>-0.24</v>
      </c>
      <c r="U516" s="20">
        <v>0.03</v>
      </c>
      <c r="V516" s="20">
        <v>1681.06</v>
      </c>
    </row>
    <row r="517" spans="1:22" ht="16.8" x14ac:dyDescent="0.3">
      <c r="A517" s="20">
        <v>51.7</v>
      </c>
      <c r="B517" s="20">
        <v>65.52</v>
      </c>
      <c r="C517" s="20">
        <v>65</v>
      </c>
      <c r="D517" s="20">
        <v>-0.52</v>
      </c>
      <c r="E517" s="20">
        <v>0.02</v>
      </c>
      <c r="F517" s="20">
        <v>1599.22</v>
      </c>
      <c r="Q517" s="20">
        <v>51.6</v>
      </c>
      <c r="R517" s="20">
        <v>65</v>
      </c>
      <c r="S517" s="20">
        <v>65.290000000000006</v>
      </c>
      <c r="T517" s="20">
        <v>-0.28999999999999998</v>
      </c>
      <c r="U517" s="20">
        <v>-0.04</v>
      </c>
      <c r="V517" s="20">
        <v>1658.02</v>
      </c>
    </row>
    <row r="518" spans="1:22" ht="16.8" x14ac:dyDescent="0.3">
      <c r="A518" s="20">
        <v>51.8</v>
      </c>
      <c r="B518" s="20">
        <v>65.53</v>
      </c>
      <c r="C518" s="20">
        <v>65</v>
      </c>
      <c r="D518" s="20">
        <v>-0.53</v>
      </c>
      <c r="E518" s="20">
        <v>-0.01</v>
      </c>
      <c r="F518" s="20">
        <v>1574.87</v>
      </c>
      <c r="Q518" s="25">
        <v>51.7</v>
      </c>
      <c r="R518" s="20">
        <v>65</v>
      </c>
      <c r="S518" s="20">
        <v>65.27</v>
      </c>
      <c r="T518" s="20">
        <v>-0.27</v>
      </c>
      <c r="U518" s="20">
        <v>0.02</v>
      </c>
      <c r="V518" s="20">
        <v>1666.57</v>
      </c>
    </row>
    <row r="519" spans="1:22" ht="16.8" x14ac:dyDescent="0.3">
      <c r="A519" s="20">
        <v>51.9</v>
      </c>
      <c r="B519" s="20">
        <v>65.5</v>
      </c>
      <c r="C519" s="20">
        <v>65</v>
      </c>
      <c r="D519" s="20">
        <v>-0.5</v>
      </c>
      <c r="E519" s="20">
        <v>0.02</v>
      </c>
      <c r="F519" s="20">
        <v>1601.33</v>
      </c>
      <c r="Q519" s="20">
        <v>51.8</v>
      </c>
      <c r="R519" s="20">
        <v>65</v>
      </c>
      <c r="S519" s="20">
        <v>65.31</v>
      </c>
      <c r="T519" s="20">
        <v>-0.31</v>
      </c>
      <c r="U519" s="20">
        <v>-0.04</v>
      </c>
      <c r="V519" s="20">
        <v>1647.01</v>
      </c>
    </row>
    <row r="520" spans="1:22" ht="16.8" x14ac:dyDescent="0.3">
      <c r="A520" s="20">
        <v>52</v>
      </c>
      <c r="B520" s="20">
        <v>65.5</v>
      </c>
      <c r="C520" s="20">
        <v>65</v>
      </c>
      <c r="D520" s="20">
        <v>-0.5</v>
      </c>
      <c r="E520" s="20">
        <v>0</v>
      </c>
      <c r="F520" s="20">
        <v>1584.26</v>
      </c>
      <c r="Q520" s="25">
        <v>51.9</v>
      </c>
      <c r="R520" s="20">
        <v>65</v>
      </c>
      <c r="S520" s="20">
        <v>65.239999999999995</v>
      </c>
      <c r="T520" s="20">
        <v>-0.24</v>
      </c>
      <c r="U520" s="20">
        <v>0.06</v>
      </c>
      <c r="V520" s="20">
        <v>1681.06</v>
      </c>
    </row>
    <row r="521" spans="1:22" ht="16.8" x14ac:dyDescent="0.3">
      <c r="A521" s="20">
        <v>52.1</v>
      </c>
      <c r="B521" s="20">
        <v>65.48</v>
      </c>
      <c r="C521" s="20">
        <v>65</v>
      </c>
      <c r="D521" s="20">
        <v>-0.48</v>
      </c>
      <c r="E521" s="20">
        <v>0.02</v>
      </c>
      <c r="F521" s="20">
        <v>1602.85</v>
      </c>
      <c r="Q521" s="20">
        <v>52</v>
      </c>
      <c r="R521" s="20">
        <v>65</v>
      </c>
      <c r="S521" s="20">
        <v>65.25</v>
      </c>
      <c r="T521" s="20">
        <v>-0.25</v>
      </c>
      <c r="U521" s="20">
        <v>0</v>
      </c>
      <c r="V521" s="20">
        <v>1678.99</v>
      </c>
    </row>
    <row r="522" spans="1:22" ht="16.8" x14ac:dyDescent="0.3">
      <c r="A522" s="20">
        <v>52.2</v>
      </c>
      <c r="B522" s="20">
        <v>65.459999999999994</v>
      </c>
      <c r="C522" s="20">
        <v>65</v>
      </c>
      <c r="D522" s="20">
        <v>-0.46</v>
      </c>
      <c r="E522" s="20">
        <v>0.02</v>
      </c>
      <c r="F522" s="20">
        <v>1599.04</v>
      </c>
      <c r="Q522" s="25">
        <v>52.1</v>
      </c>
      <c r="R522" s="20">
        <v>65</v>
      </c>
      <c r="S522" s="20">
        <v>65.239999999999995</v>
      </c>
      <c r="T522" s="20">
        <v>-0.24</v>
      </c>
      <c r="U522" s="20">
        <v>0</v>
      </c>
      <c r="V522" s="20">
        <v>1681.06</v>
      </c>
    </row>
    <row r="523" spans="1:22" ht="16.8" x14ac:dyDescent="0.3">
      <c r="A523" s="20">
        <v>52.3</v>
      </c>
      <c r="B523" s="20">
        <v>65.48</v>
      </c>
      <c r="C523" s="20">
        <v>65</v>
      </c>
      <c r="D523" s="20">
        <v>-0.48</v>
      </c>
      <c r="E523" s="20">
        <v>-0.02</v>
      </c>
      <c r="F523" s="20">
        <v>1574.16</v>
      </c>
      <c r="Q523" s="25">
        <v>52.2</v>
      </c>
      <c r="R523" s="20">
        <v>65</v>
      </c>
      <c r="S523" s="20">
        <v>65.28</v>
      </c>
      <c r="T523" s="20">
        <v>-0.28000000000000003</v>
      </c>
      <c r="U523" s="20">
        <v>-0.04</v>
      </c>
      <c r="V523" s="20">
        <v>1662.33</v>
      </c>
    </row>
    <row r="524" spans="1:22" ht="16.8" x14ac:dyDescent="0.3">
      <c r="A524" s="20">
        <v>52.4</v>
      </c>
      <c r="B524" s="20">
        <v>65.47</v>
      </c>
      <c r="C524" s="20">
        <v>65</v>
      </c>
      <c r="D524" s="20">
        <v>-0.47</v>
      </c>
      <c r="E524" s="20">
        <v>0.01</v>
      </c>
      <c r="F524" s="20">
        <v>1593.49</v>
      </c>
      <c r="Q524" s="20">
        <v>52.3</v>
      </c>
      <c r="R524" s="20">
        <v>65</v>
      </c>
      <c r="S524" s="20">
        <v>65.239999999999995</v>
      </c>
      <c r="T524" s="20">
        <v>-0.24</v>
      </c>
      <c r="U524" s="20">
        <v>0.04</v>
      </c>
      <c r="V524" s="20">
        <v>1683.11</v>
      </c>
    </row>
    <row r="525" spans="1:22" ht="16.8" x14ac:dyDescent="0.3">
      <c r="A525" s="20">
        <v>52.5</v>
      </c>
      <c r="B525" s="20">
        <v>65.48</v>
      </c>
      <c r="C525" s="20">
        <v>65</v>
      </c>
      <c r="D525" s="20">
        <v>-0.48</v>
      </c>
      <c r="E525" s="20">
        <v>-0.01</v>
      </c>
      <c r="F525" s="20">
        <v>1577.83</v>
      </c>
      <c r="Q525" s="25">
        <v>52.4</v>
      </c>
      <c r="R525" s="20">
        <v>65</v>
      </c>
      <c r="S525" s="20">
        <v>65.25</v>
      </c>
      <c r="T525" s="20">
        <v>-0.25</v>
      </c>
      <c r="U525" s="20">
        <v>-0.01</v>
      </c>
      <c r="V525" s="20">
        <v>1676.92</v>
      </c>
    </row>
    <row r="526" spans="1:22" ht="16.8" x14ac:dyDescent="0.3">
      <c r="A526" s="20">
        <v>52.6</v>
      </c>
      <c r="B526" s="20">
        <v>65.45</v>
      </c>
      <c r="C526" s="20">
        <v>65</v>
      </c>
      <c r="D526" s="20">
        <v>-0.45</v>
      </c>
      <c r="E526" s="20">
        <v>0.02</v>
      </c>
      <c r="F526" s="20">
        <v>1601.77</v>
      </c>
      <c r="Q526" s="20">
        <v>52.5</v>
      </c>
      <c r="R526" s="20">
        <v>65</v>
      </c>
      <c r="S526" s="20">
        <v>65.22</v>
      </c>
      <c r="T526" s="20">
        <v>-0.22</v>
      </c>
      <c r="U526" s="20">
        <v>0.03</v>
      </c>
      <c r="V526" s="20">
        <v>1691.18</v>
      </c>
    </row>
    <row r="527" spans="1:22" ht="16.8" x14ac:dyDescent="0.3">
      <c r="A527" s="20">
        <v>52.7</v>
      </c>
      <c r="B527" s="20">
        <v>65.430000000000007</v>
      </c>
      <c r="C527" s="20">
        <v>65</v>
      </c>
      <c r="D527" s="20">
        <v>-0.43</v>
      </c>
      <c r="E527" s="20">
        <v>0.02</v>
      </c>
      <c r="F527" s="20">
        <v>1604.63</v>
      </c>
      <c r="Q527" s="25">
        <v>52.6</v>
      </c>
      <c r="R527" s="20">
        <v>65</v>
      </c>
      <c r="S527" s="20">
        <v>65.23</v>
      </c>
      <c r="T527" s="20">
        <v>-0.23</v>
      </c>
      <c r="U527" s="20">
        <v>-0.01</v>
      </c>
      <c r="V527" s="20">
        <v>1687.17</v>
      </c>
    </row>
    <row r="528" spans="1:22" ht="16.8" x14ac:dyDescent="0.3">
      <c r="A528" s="20">
        <v>52.8</v>
      </c>
      <c r="B528" s="20">
        <v>65.400000000000006</v>
      </c>
      <c r="C528" s="20">
        <v>65</v>
      </c>
      <c r="D528" s="20">
        <v>-0.4</v>
      </c>
      <c r="E528" s="20">
        <v>0.03</v>
      </c>
      <c r="F528" s="20">
        <v>1614.14</v>
      </c>
      <c r="Q528" s="20">
        <v>52.7</v>
      </c>
      <c r="R528" s="20">
        <v>65</v>
      </c>
      <c r="S528" s="20">
        <v>65.27</v>
      </c>
      <c r="T528" s="20">
        <v>-0.27</v>
      </c>
      <c r="U528" s="20">
        <v>-0.04</v>
      </c>
      <c r="V528" s="20">
        <v>1668.68</v>
      </c>
    </row>
    <row r="529" spans="1:22" ht="16.8" x14ac:dyDescent="0.3">
      <c r="A529" s="20">
        <v>52.9</v>
      </c>
      <c r="B529" s="20">
        <v>65.42</v>
      </c>
      <c r="C529" s="20">
        <v>65</v>
      </c>
      <c r="D529" s="20">
        <v>-0.42</v>
      </c>
      <c r="E529" s="20">
        <v>-0.03</v>
      </c>
      <c r="F529" s="20">
        <v>1568.95</v>
      </c>
      <c r="Q529" s="25">
        <v>52.8</v>
      </c>
      <c r="R529" s="20">
        <v>65</v>
      </c>
      <c r="S529" s="20">
        <v>65.27</v>
      </c>
      <c r="T529" s="20">
        <v>-0.27</v>
      </c>
      <c r="U529" s="20">
        <v>0</v>
      </c>
      <c r="V529" s="20">
        <v>1666.57</v>
      </c>
    </row>
    <row r="530" spans="1:22" ht="16.8" x14ac:dyDescent="0.3">
      <c r="A530" s="20">
        <v>53</v>
      </c>
      <c r="B530" s="20">
        <v>65.42</v>
      </c>
      <c r="C530" s="20">
        <v>65</v>
      </c>
      <c r="D530" s="20">
        <v>-0.42</v>
      </c>
      <c r="E530" s="20">
        <v>0.01</v>
      </c>
      <c r="F530" s="20">
        <v>1593.04</v>
      </c>
      <c r="Q530" s="25">
        <v>52.9</v>
      </c>
      <c r="R530" s="20">
        <v>65</v>
      </c>
      <c r="S530" s="20">
        <v>65.25</v>
      </c>
      <c r="T530" s="20">
        <v>-0.25</v>
      </c>
      <c r="U530" s="20">
        <v>0.02</v>
      </c>
      <c r="V530" s="20">
        <v>1674.86</v>
      </c>
    </row>
    <row r="531" spans="1:22" ht="16.8" x14ac:dyDescent="0.3">
      <c r="A531" s="20">
        <v>53.1</v>
      </c>
      <c r="B531" s="20">
        <v>65.42</v>
      </c>
      <c r="C531" s="20">
        <v>65</v>
      </c>
      <c r="D531" s="20">
        <v>-0.42</v>
      </c>
      <c r="E531" s="20">
        <v>0</v>
      </c>
      <c r="F531" s="20">
        <v>1583.46</v>
      </c>
      <c r="Q531" s="20">
        <v>53</v>
      </c>
      <c r="R531" s="20">
        <v>65</v>
      </c>
      <c r="S531" s="20">
        <v>65.290000000000006</v>
      </c>
      <c r="T531" s="20">
        <v>-0.28999999999999998</v>
      </c>
      <c r="U531" s="20">
        <v>-0.04</v>
      </c>
      <c r="V531" s="20">
        <v>1653.64</v>
      </c>
    </row>
    <row r="532" spans="1:22" ht="16.8" x14ac:dyDescent="0.3">
      <c r="A532" s="20">
        <v>53.2</v>
      </c>
      <c r="B532" s="20">
        <v>65.42</v>
      </c>
      <c r="C532" s="20">
        <v>65</v>
      </c>
      <c r="D532" s="20">
        <v>-0.42</v>
      </c>
      <c r="E532" s="20">
        <v>0</v>
      </c>
      <c r="F532" s="20">
        <v>1588.39</v>
      </c>
      <c r="Q532" s="25">
        <v>53.1</v>
      </c>
      <c r="R532" s="20">
        <v>65</v>
      </c>
      <c r="S532" s="20">
        <v>65.290000000000006</v>
      </c>
      <c r="T532" s="20">
        <v>-0.28999999999999998</v>
      </c>
      <c r="U532" s="20">
        <v>0</v>
      </c>
      <c r="V532" s="20">
        <v>1653.64</v>
      </c>
    </row>
    <row r="533" spans="1:22" ht="16.8" x14ac:dyDescent="0.3">
      <c r="A533" s="20">
        <v>53.3</v>
      </c>
      <c r="B533" s="20">
        <v>65.400000000000006</v>
      </c>
      <c r="C533" s="20">
        <v>65</v>
      </c>
      <c r="D533" s="20">
        <v>-0.4</v>
      </c>
      <c r="E533" s="20">
        <v>0.02</v>
      </c>
      <c r="F533" s="20">
        <v>1601.25</v>
      </c>
      <c r="Q533" s="20">
        <v>53.2</v>
      </c>
      <c r="R533" s="20">
        <v>65</v>
      </c>
      <c r="S533" s="20">
        <v>65.31</v>
      </c>
      <c r="T533" s="20">
        <v>-0.31</v>
      </c>
      <c r="U533" s="20">
        <v>-0.02</v>
      </c>
      <c r="V533" s="20">
        <v>1642.54</v>
      </c>
    </row>
    <row r="534" spans="1:22" ht="16.8" x14ac:dyDescent="0.3">
      <c r="A534" s="20">
        <v>53.4</v>
      </c>
      <c r="B534" s="20">
        <v>65.39</v>
      </c>
      <c r="C534" s="20">
        <v>65</v>
      </c>
      <c r="D534" s="20">
        <v>-0.39</v>
      </c>
      <c r="E534" s="20">
        <v>0.01</v>
      </c>
      <c r="F534" s="20">
        <v>1593.69</v>
      </c>
      <c r="Q534" s="25">
        <v>53.3</v>
      </c>
      <c r="R534" s="20">
        <v>65</v>
      </c>
      <c r="S534" s="20">
        <v>65.31</v>
      </c>
      <c r="T534" s="20">
        <v>-0.31</v>
      </c>
      <c r="U534" s="20">
        <v>0</v>
      </c>
      <c r="V534" s="20">
        <v>1644.79</v>
      </c>
    </row>
    <row r="535" spans="1:22" ht="16.8" x14ac:dyDescent="0.3">
      <c r="A535" s="20">
        <v>53.5</v>
      </c>
      <c r="B535" s="20">
        <v>65.36</v>
      </c>
      <c r="C535" s="20">
        <v>65</v>
      </c>
      <c r="D535" s="20">
        <v>-0.36</v>
      </c>
      <c r="E535" s="20">
        <v>0.03</v>
      </c>
      <c r="F535" s="20">
        <v>1610.58</v>
      </c>
      <c r="Q535" s="20">
        <v>53.4</v>
      </c>
      <c r="R535" s="20">
        <v>65</v>
      </c>
      <c r="S535" s="20">
        <v>65.319999999999993</v>
      </c>
      <c r="T535" s="20">
        <v>-0.32</v>
      </c>
      <c r="U535" s="20">
        <v>-0.01</v>
      </c>
      <c r="V535" s="20">
        <v>1637.99</v>
      </c>
    </row>
    <row r="536" spans="1:22" ht="16.8" x14ac:dyDescent="0.3">
      <c r="A536" s="20">
        <v>53.6</v>
      </c>
      <c r="B536" s="20">
        <v>65.33</v>
      </c>
      <c r="C536" s="20">
        <v>65</v>
      </c>
      <c r="D536" s="20">
        <v>-0.33</v>
      </c>
      <c r="E536" s="20">
        <v>0.03</v>
      </c>
      <c r="F536" s="20">
        <v>1614.3</v>
      </c>
      <c r="Q536" s="25">
        <v>53.5</v>
      </c>
      <c r="R536" s="20">
        <v>65</v>
      </c>
      <c r="S536" s="20">
        <v>65.3</v>
      </c>
      <c r="T536" s="20">
        <v>-0.3</v>
      </c>
      <c r="U536" s="20">
        <v>0.02</v>
      </c>
      <c r="V536" s="20">
        <v>1651.41</v>
      </c>
    </row>
    <row r="537" spans="1:22" ht="16.8" x14ac:dyDescent="0.3">
      <c r="A537" s="20">
        <v>53.7</v>
      </c>
      <c r="B537" s="20">
        <v>65.349999999999994</v>
      </c>
      <c r="C537" s="20">
        <v>65</v>
      </c>
      <c r="D537" s="20">
        <v>-0.35</v>
      </c>
      <c r="E537" s="20">
        <v>-0.02</v>
      </c>
      <c r="F537" s="20">
        <v>1575.22</v>
      </c>
      <c r="Q537" s="25">
        <v>53.6</v>
      </c>
      <c r="R537" s="20">
        <v>65</v>
      </c>
      <c r="S537" s="20">
        <v>65.3</v>
      </c>
      <c r="T537" s="20">
        <v>-0.3</v>
      </c>
      <c r="U537" s="20">
        <v>0</v>
      </c>
      <c r="V537" s="20">
        <v>1649.21</v>
      </c>
    </row>
    <row r="538" spans="1:22" ht="16.8" x14ac:dyDescent="0.3">
      <c r="A538" s="20">
        <v>53.8</v>
      </c>
      <c r="B538" s="20">
        <v>65.349999999999994</v>
      </c>
      <c r="C538" s="20">
        <v>65</v>
      </c>
      <c r="D538" s="20">
        <v>-0.35</v>
      </c>
      <c r="E538" s="20">
        <v>0.01</v>
      </c>
      <c r="F538" s="20">
        <v>1596.82</v>
      </c>
      <c r="Q538" s="20">
        <v>53.7</v>
      </c>
      <c r="R538" s="20">
        <v>65</v>
      </c>
      <c r="S538" s="20">
        <v>65.33</v>
      </c>
      <c r="T538" s="20">
        <v>-0.33</v>
      </c>
      <c r="U538" s="20">
        <v>-0.02</v>
      </c>
      <c r="V538" s="20">
        <v>1635.68</v>
      </c>
    </row>
    <row r="539" spans="1:22" ht="16.8" x14ac:dyDescent="0.3">
      <c r="A539" s="20">
        <v>53.9</v>
      </c>
      <c r="B539" s="20">
        <v>65.36</v>
      </c>
      <c r="C539" s="20">
        <v>65</v>
      </c>
      <c r="D539" s="20">
        <v>-0.36</v>
      </c>
      <c r="E539" s="20">
        <v>-0.01</v>
      </c>
      <c r="F539" s="20">
        <v>1580.81</v>
      </c>
      <c r="Q539" s="25">
        <v>53.8</v>
      </c>
      <c r="R539" s="20">
        <v>65</v>
      </c>
      <c r="S539" s="20">
        <v>65.319999999999993</v>
      </c>
      <c r="T539" s="20">
        <v>-0.32</v>
      </c>
      <c r="U539" s="20">
        <v>0</v>
      </c>
      <c r="V539" s="20">
        <v>1637.99</v>
      </c>
    </row>
    <row r="540" spans="1:22" ht="16.8" x14ac:dyDescent="0.3">
      <c r="A540" s="20">
        <v>54</v>
      </c>
      <c r="B540" s="20">
        <v>65.28</v>
      </c>
      <c r="C540" s="20">
        <v>65</v>
      </c>
      <c r="D540" s="20">
        <v>-0.28000000000000003</v>
      </c>
      <c r="E540" s="20">
        <v>0.08</v>
      </c>
      <c r="F540" s="20">
        <v>1650.56</v>
      </c>
      <c r="Q540" s="20">
        <v>53.9</v>
      </c>
      <c r="R540" s="20">
        <v>65</v>
      </c>
      <c r="S540" s="20">
        <v>65.260000000000005</v>
      </c>
      <c r="T540" s="20">
        <v>-0.26</v>
      </c>
      <c r="U540" s="20">
        <v>0.06</v>
      </c>
      <c r="V540" s="20">
        <v>1670.75</v>
      </c>
    </row>
    <row r="541" spans="1:22" ht="16.8" x14ac:dyDescent="0.3">
      <c r="A541" s="20">
        <v>54.1</v>
      </c>
      <c r="B541" s="20">
        <v>65.31</v>
      </c>
      <c r="C541" s="20">
        <v>65</v>
      </c>
      <c r="D541" s="20">
        <v>-0.31</v>
      </c>
      <c r="E541" s="20">
        <v>-0.03</v>
      </c>
      <c r="F541" s="20">
        <v>1576.58</v>
      </c>
      <c r="Q541" s="25">
        <v>54</v>
      </c>
      <c r="R541" s="20">
        <v>65</v>
      </c>
      <c r="S541" s="20">
        <v>65.28</v>
      </c>
      <c r="T541" s="20">
        <v>-0.28000000000000003</v>
      </c>
      <c r="U541" s="20">
        <v>-0.02</v>
      </c>
      <c r="V541" s="20">
        <v>1660.19</v>
      </c>
    </row>
    <row r="542" spans="1:22" ht="16.8" x14ac:dyDescent="0.3">
      <c r="A542" s="20">
        <v>54.2</v>
      </c>
      <c r="B542" s="20">
        <v>65.33</v>
      </c>
      <c r="C542" s="20">
        <v>65</v>
      </c>
      <c r="D542" s="20">
        <v>-0.33</v>
      </c>
      <c r="E542" s="20">
        <v>-0.02</v>
      </c>
      <c r="F542" s="20">
        <v>1581.13</v>
      </c>
      <c r="Q542" s="25">
        <v>54.1</v>
      </c>
      <c r="R542" s="20">
        <v>65</v>
      </c>
      <c r="S542" s="20">
        <v>65.27</v>
      </c>
      <c r="T542" s="20">
        <v>-0.27</v>
      </c>
      <c r="U542" s="20">
        <v>0.01</v>
      </c>
      <c r="V542" s="20">
        <v>1666.57</v>
      </c>
    </row>
    <row r="543" spans="1:22" ht="16.8" x14ac:dyDescent="0.3">
      <c r="A543" s="20">
        <v>54.3</v>
      </c>
      <c r="B543" s="20">
        <v>65.3</v>
      </c>
      <c r="C543" s="20">
        <v>65</v>
      </c>
      <c r="D543" s="20">
        <v>-0.3</v>
      </c>
      <c r="E543" s="20">
        <v>0.03</v>
      </c>
      <c r="F543" s="20">
        <v>1614.01</v>
      </c>
      <c r="Q543" s="20">
        <v>54.2</v>
      </c>
      <c r="R543" s="20">
        <v>65</v>
      </c>
      <c r="S543" s="20">
        <v>65.25</v>
      </c>
      <c r="T543" s="20">
        <v>-0.25</v>
      </c>
      <c r="U543" s="20">
        <v>0.02</v>
      </c>
      <c r="V543" s="20">
        <v>1676.92</v>
      </c>
    </row>
    <row r="544" spans="1:22" ht="16.8" x14ac:dyDescent="0.3">
      <c r="A544" s="20">
        <v>54.4</v>
      </c>
      <c r="B544" s="20">
        <v>65.290000000000006</v>
      </c>
      <c r="C544" s="20">
        <v>65</v>
      </c>
      <c r="D544" s="20">
        <v>-0.28999999999999998</v>
      </c>
      <c r="E544" s="20">
        <v>0.01</v>
      </c>
      <c r="F544" s="20">
        <v>1601.4</v>
      </c>
      <c r="Q544" s="25">
        <v>54.3</v>
      </c>
      <c r="R544" s="20">
        <v>65</v>
      </c>
      <c r="S544" s="20">
        <v>65.290000000000006</v>
      </c>
      <c r="T544" s="20">
        <v>-0.28999999999999998</v>
      </c>
      <c r="U544" s="20">
        <v>-0.04</v>
      </c>
      <c r="V544" s="20">
        <v>1653.64</v>
      </c>
    </row>
    <row r="545" spans="1:22" ht="16.8" x14ac:dyDescent="0.3">
      <c r="A545" s="20">
        <v>54.5</v>
      </c>
      <c r="B545" s="20">
        <v>65.3</v>
      </c>
      <c r="C545" s="20">
        <v>65</v>
      </c>
      <c r="D545" s="20">
        <v>-0.3</v>
      </c>
      <c r="E545" s="20">
        <v>-0.01</v>
      </c>
      <c r="F545" s="20">
        <v>1585.52</v>
      </c>
      <c r="Q545" s="20">
        <v>54.4</v>
      </c>
      <c r="R545" s="20">
        <v>65</v>
      </c>
      <c r="S545" s="20">
        <v>65.27</v>
      </c>
      <c r="T545" s="20">
        <v>-0.27</v>
      </c>
      <c r="U545" s="20">
        <v>0.02</v>
      </c>
      <c r="V545" s="20">
        <v>1666.57</v>
      </c>
    </row>
    <row r="546" spans="1:22" ht="16.8" x14ac:dyDescent="0.3">
      <c r="A546" s="20">
        <v>54.6</v>
      </c>
      <c r="B546" s="20">
        <v>65.28</v>
      </c>
      <c r="C546" s="20">
        <v>65</v>
      </c>
      <c r="D546" s="20">
        <v>-0.28000000000000003</v>
      </c>
      <c r="E546" s="20">
        <v>0.02</v>
      </c>
      <c r="F546" s="20">
        <v>1609.22</v>
      </c>
      <c r="Q546" s="25">
        <v>54.5</v>
      </c>
      <c r="R546" s="20">
        <v>65</v>
      </c>
      <c r="S546" s="20">
        <v>65.27</v>
      </c>
      <c r="T546" s="20">
        <v>-0.27</v>
      </c>
      <c r="U546" s="20">
        <v>0</v>
      </c>
      <c r="V546" s="20">
        <v>1666.57</v>
      </c>
    </row>
    <row r="547" spans="1:22" ht="16.8" x14ac:dyDescent="0.3">
      <c r="A547" s="20">
        <v>54.7</v>
      </c>
      <c r="B547" s="20">
        <v>65.25</v>
      </c>
      <c r="C547" s="20">
        <v>65</v>
      </c>
      <c r="D547" s="20">
        <v>-0.25</v>
      </c>
      <c r="E547" s="20">
        <v>0.03</v>
      </c>
      <c r="F547" s="20">
        <v>1621.73</v>
      </c>
      <c r="Q547" s="25">
        <v>54.6</v>
      </c>
      <c r="R547" s="20">
        <v>65</v>
      </c>
      <c r="S547" s="20">
        <v>65.25</v>
      </c>
      <c r="T547" s="20">
        <v>-0.25</v>
      </c>
      <c r="U547" s="20">
        <v>0.02</v>
      </c>
      <c r="V547" s="20">
        <v>1678.99</v>
      </c>
    </row>
    <row r="548" spans="1:22" ht="16.8" x14ac:dyDescent="0.3">
      <c r="A548" s="20">
        <v>54.8</v>
      </c>
      <c r="B548" s="20">
        <v>65.28</v>
      </c>
      <c r="C548" s="20">
        <v>65</v>
      </c>
      <c r="D548" s="20">
        <v>-0.28000000000000003</v>
      </c>
      <c r="E548" s="20">
        <v>-0.03</v>
      </c>
      <c r="F548" s="20">
        <v>1576.87</v>
      </c>
      <c r="Q548" s="20">
        <v>54.7</v>
      </c>
      <c r="R548" s="20">
        <v>65</v>
      </c>
      <c r="S548" s="20">
        <v>65.260000000000005</v>
      </c>
      <c r="T548" s="20">
        <v>-0.26</v>
      </c>
      <c r="U548" s="20">
        <v>-0.02</v>
      </c>
      <c r="V548" s="20">
        <v>1670.75</v>
      </c>
    </row>
    <row r="549" spans="1:22" ht="16.8" x14ac:dyDescent="0.3">
      <c r="A549" s="20">
        <v>54.9</v>
      </c>
      <c r="B549" s="20">
        <v>65.25</v>
      </c>
      <c r="C549" s="20">
        <v>65</v>
      </c>
      <c r="D549" s="20">
        <v>-0.25</v>
      </c>
      <c r="E549" s="20">
        <v>0.02</v>
      </c>
      <c r="F549" s="20">
        <v>1614.52</v>
      </c>
      <c r="Q549" s="25">
        <v>54.8</v>
      </c>
      <c r="R549" s="20">
        <v>65</v>
      </c>
      <c r="S549" s="20">
        <v>65.31</v>
      </c>
      <c r="T549" s="20">
        <v>-0.31</v>
      </c>
      <c r="U549" s="20">
        <v>-0.05</v>
      </c>
      <c r="V549" s="20">
        <v>1644.79</v>
      </c>
    </row>
    <row r="550" spans="1:22" ht="16.8" x14ac:dyDescent="0.3">
      <c r="A550" s="20">
        <v>55</v>
      </c>
      <c r="B550" s="20">
        <v>65.28</v>
      </c>
      <c r="C550" s="20">
        <v>65</v>
      </c>
      <c r="D550" s="20">
        <v>-0.28000000000000003</v>
      </c>
      <c r="E550" s="20">
        <v>-0.02</v>
      </c>
      <c r="F550" s="20">
        <v>1578.24</v>
      </c>
      <c r="Q550" s="20">
        <v>54.9</v>
      </c>
      <c r="R550" s="20">
        <v>65</v>
      </c>
      <c r="S550" s="20">
        <v>65.290000000000006</v>
      </c>
      <c r="T550" s="20">
        <v>-0.28999999999999998</v>
      </c>
      <c r="U550" s="20">
        <v>0.02</v>
      </c>
      <c r="V550" s="20">
        <v>1653.64</v>
      </c>
    </row>
    <row r="551" spans="1:22" ht="16.8" x14ac:dyDescent="0.3">
      <c r="A551" s="20">
        <v>55.1</v>
      </c>
      <c r="B551" s="20">
        <v>65.28</v>
      </c>
      <c r="C551" s="20">
        <v>65</v>
      </c>
      <c r="D551" s="20">
        <v>-0.28000000000000003</v>
      </c>
      <c r="E551" s="20">
        <v>0</v>
      </c>
      <c r="F551" s="20">
        <v>1593.44</v>
      </c>
      <c r="Q551" s="25">
        <v>55</v>
      </c>
      <c r="R551" s="20">
        <v>65</v>
      </c>
      <c r="S551" s="20">
        <v>65.290000000000006</v>
      </c>
      <c r="T551" s="20">
        <v>-0.28999999999999998</v>
      </c>
      <c r="U551" s="20">
        <v>0.01</v>
      </c>
      <c r="V551" s="20">
        <v>1658.02</v>
      </c>
    </row>
    <row r="552" spans="1:22" ht="16.8" x14ac:dyDescent="0.3">
      <c r="A552" s="20">
        <v>55.2</v>
      </c>
      <c r="B552" s="20">
        <v>65.25</v>
      </c>
      <c r="C552" s="20">
        <v>65</v>
      </c>
      <c r="D552" s="20">
        <v>-0.25</v>
      </c>
      <c r="E552" s="20">
        <v>0.02</v>
      </c>
      <c r="F552" s="20">
        <v>1612.58</v>
      </c>
      <c r="Q552" s="20">
        <v>55.1</v>
      </c>
      <c r="R552" s="20">
        <v>65</v>
      </c>
      <c r="S552" s="20">
        <v>65.28</v>
      </c>
      <c r="T552" s="20">
        <v>-0.28000000000000003</v>
      </c>
      <c r="U552" s="20">
        <v>0.01</v>
      </c>
      <c r="V552" s="20">
        <v>1662.33</v>
      </c>
    </row>
    <row r="553" spans="1:22" ht="16.8" x14ac:dyDescent="0.3">
      <c r="A553" s="20">
        <v>55.3</v>
      </c>
      <c r="B553" s="20">
        <v>65.25</v>
      </c>
      <c r="C553" s="20">
        <v>65</v>
      </c>
      <c r="D553" s="20">
        <v>-0.25</v>
      </c>
      <c r="E553" s="20">
        <v>0</v>
      </c>
      <c r="F553" s="20">
        <v>1599.4</v>
      </c>
      <c r="Q553" s="25">
        <v>55.2</v>
      </c>
      <c r="R553" s="20">
        <v>65</v>
      </c>
      <c r="S553" s="20">
        <v>65.260000000000005</v>
      </c>
      <c r="T553" s="20">
        <v>-0.26</v>
      </c>
      <c r="U553" s="20">
        <v>0.02</v>
      </c>
      <c r="V553" s="20">
        <v>1670.75</v>
      </c>
    </row>
    <row r="554" spans="1:22" ht="16.8" x14ac:dyDescent="0.3">
      <c r="A554" s="20">
        <v>55.4</v>
      </c>
      <c r="B554" s="20">
        <v>65.23</v>
      </c>
      <c r="C554" s="20">
        <v>65</v>
      </c>
      <c r="D554" s="20">
        <v>-0.23</v>
      </c>
      <c r="E554" s="20">
        <v>0.02</v>
      </c>
      <c r="F554" s="20">
        <v>1615.97</v>
      </c>
      <c r="Q554" s="25">
        <v>55.3</v>
      </c>
      <c r="R554" s="20">
        <v>65</v>
      </c>
      <c r="S554" s="20">
        <v>65.25</v>
      </c>
      <c r="T554" s="20">
        <v>-0.25</v>
      </c>
      <c r="U554" s="20">
        <v>0.02</v>
      </c>
      <c r="V554" s="20">
        <v>1678.99</v>
      </c>
    </row>
    <row r="555" spans="1:22" ht="16.8" x14ac:dyDescent="0.3">
      <c r="A555" s="20">
        <v>55.5</v>
      </c>
      <c r="B555" s="20">
        <v>65.22</v>
      </c>
      <c r="C555" s="20">
        <v>65</v>
      </c>
      <c r="D555" s="20">
        <v>-0.22</v>
      </c>
      <c r="E555" s="20">
        <v>0.01</v>
      </c>
      <c r="F555" s="20">
        <v>1606.16</v>
      </c>
      <c r="Q555" s="20">
        <v>55.4</v>
      </c>
      <c r="R555" s="20">
        <v>65</v>
      </c>
      <c r="S555" s="20">
        <v>65.23</v>
      </c>
      <c r="T555" s="20">
        <v>-0.23</v>
      </c>
      <c r="U555" s="20">
        <v>0.02</v>
      </c>
      <c r="V555" s="20">
        <v>1689.19</v>
      </c>
    </row>
    <row r="556" spans="1:22" ht="16.8" x14ac:dyDescent="0.3">
      <c r="A556" s="20">
        <v>55.6</v>
      </c>
      <c r="B556" s="20">
        <v>65.2</v>
      </c>
      <c r="C556" s="20">
        <v>65</v>
      </c>
      <c r="D556" s="20">
        <v>-0.2</v>
      </c>
      <c r="E556" s="20">
        <v>0.02</v>
      </c>
      <c r="F556" s="20">
        <v>1613.55</v>
      </c>
      <c r="Q556" s="25">
        <v>55.5</v>
      </c>
      <c r="R556" s="20">
        <v>65</v>
      </c>
      <c r="S556" s="20">
        <v>65.27</v>
      </c>
      <c r="T556" s="20">
        <v>-0.27</v>
      </c>
      <c r="U556" s="20">
        <v>-0.05</v>
      </c>
      <c r="V556" s="20">
        <v>1664.47</v>
      </c>
    </row>
    <row r="557" spans="1:22" ht="16.8" x14ac:dyDescent="0.3">
      <c r="A557" s="20">
        <v>55.7</v>
      </c>
      <c r="B557" s="20">
        <v>65.180000000000007</v>
      </c>
      <c r="C557" s="20">
        <v>65</v>
      </c>
      <c r="D557" s="20">
        <v>-0.18</v>
      </c>
      <c r="E557" s="20">
        <v>0.02</v>
      </c>
      <c r="F557" s="20">
        <v>1618.99</v>
      </c>
      <c r="Q557" s="20">
        <v>55.6</v>
      </c>
      <c r="R557" s="20">
        <v>65</v>
      </c>
      <c r="S557" s="20">
        <v>65.23</v>
      </c>
      <c r="T557" s="20">
        <v>-0.23</v>
      </c>
      <c r="U557" s="20">
        <v>0.04</v>
      </c>
      <c r="V557" s="20">
        <v>1685.16</v>
      </c>
    </row>
    <row r="558" spans="1:22" ht="16.8" x14ac:dyDescent="0.3">
      <c r="A558" s="20">
        <v>55.8</v>
      </c>
      <c r="B558" s="20">
        <v>65.209999999999994</v>
      </c>
      <c r="C558" s="20">
        <v>65</v>
      </c>
      <c r="D558" s="20">
        <v>-0.21</v>
      </c>
      <c r="E558" s="20">
        <v>-0.02</v>
      </c>
      <c r="F558" s="20">
        <v>1585.54</v>
      </c>
      <c r="Q558" s="25">
        <v>55.7</v>
      </c>
      <c r="R558" s="20">
        <v>65</v>
      </c>
      <c r="S558" s="20">
        <v>65.239999999999995</v>
      </c>
      <c r="T558" s="20">
        <v>-0.24</v>
      </c>
      <c r="U558" s="20">
        <v>0</v>
      </c>
      <c r="V558" s="20">
        <v>1683.11</v>
      </c>
    </row>
    <row r="559" spans="1:22" ht="16.8" x14ac:dyDescent="0.3">
      <c r="A559" s="20">
        <v>55.9</v>
      </c>
      <c r="B559" s="20">
        <v>65.2</v>
      </c>
      <c r="C559" s="20">
        <v>65</v>
      </c>
      <c r="D559" s="20">
        <v>-0.2</v>
      </c>
      <c r="E559" s="20">
        <v>0</v>
      </c>
      <c r="F559" s="20">
        <v>1604.2</v>
      </c>
      <c r="Q559" s="25">
        <v>55.8</v>
      </c>
      <c r="R559" s="20">
        <v>65</v>
      </c>
      <c r="S559" s="20">
        <v>65.239999999999995</v>
      </c>
      <c r="T559" s="20">
        <v>-0.24</v>
      </c>
      <c r="U559" s="20">
        <v>0</v>
      </c>
      <c r="V559" s="20">
        <v>1683.11</v>
      </c>
    </row>
    <row r="560" spans="1:22" ht="16.8" x14ac:dyDescent="0.3">
      <c r="A560" s="20">
        <v>56</v>
      </c>
      <c r="B560" s="20">
        <v>65.180000000000007</v>
      </c>
      <c r="C560" s="20">
        <v>65</v>
      </c>
      <c r="D560" s="20">
        <v>-0.18</v>
      </c>
      <c r="E560" s="20">
        <v>0.02</v>
      </c>
      <c r="F560" s="20">
        <v>1620.87</v>
      </c>
      <c r="Q560" s="20">
        <v>55.9</v>
      </c>
      <c r="R560" s="20">
        <v>65</v>
      </c>
      <c r="S560" s="20">
        <v>65.260000000000005</v>
      </c>
      <c r="T560" s="20">
        <v>-0.26</v>
      </c>
      <c r="U560" s="20">
        <v>-0.02</v>
      </c>
      <c r="V560" s="20">
        <v>1672.81</v>
      </c>
    </row>
    <row r="561" spans="1:22" ht="16.8" x14ac:dyDescent="0.3">
      <c r="A561" s="20">
        <v>56.1</v>
      </c>
      <c r="B561" s="20">
        <v>65.17</v>
      </c>
      <c r="C561" s="20">
        <v>65</v>
      </c>
      <c r="D561" s="20">
        <v>-0.17</v>
      </c>
      <c r="E561" s="20">
        <v>0</v>
      </c>
      <c r="F561" s="20">
        <v>1607.9</v>
      </c>
      <c r="Q561" s="25">
        <v>56</v>
      </c>
      <c r="R561" s="20">
        <v>65</v>
      </c>
      <c r="S561" s="20">
        <v>65.23</v>
      </c>
      <c r="T561" s="20">
        <v>-0.23</v>
      </c>
      <c r="U561" s="20">
        <v>0.03</v>
      </c>
      <c r="V561" s="20">
        <v>1687.17</v>
      </c>
    </row>
    <row r="562" spans="1:22" ht="16.8" x14ac:dyDescent="0.3">
      <c r="A562" s="20">
        <v>56.2</v>
      </c>
      <c r="B562" s="20">
        <v>65.180000000000007</v>
      </c>
      <c r="C562" s="20">
        <v>65</v>
      </c>
      <c r="D562" s="20">
        <v>-0.18</v>
      </c>
      <c r="E562" s="20">
        <v>-0.01</v>
      </c>
      <c r="F562" s="20">
        <v>1598.23</v>
      </c>
      <c r="Q562" s="25">
        <v>56.1</v>
      </c>
      <c r="R562" s="20">
        <v>65</v>
      </c>
      <c r="S562" s="20">
        <v>65.260000000000005</v>
      </c>
      <c r="T562" s="20">
        <v>-0.26</v>
      </c>
      <c r="U562" s="20">
        <v>-0.03</v>
      </c>
      <c r="V562" s="20">
        <v>1670.75</v>
      </c>
    </row>
    <row r="563" spans="1:22" ht="16.8" x14ac:dyDescent="0.3">
      <c r="A563" s="20">
        <v>56.3</v>
      </c>
      <c r="B563" s="20">
        <v>65.17</v>
      </c>
      <c r="C563" s="20">
        <v>65</v>
      </c>
      <c r="D563" s="20">
        <v>-0.17</v>
      </c>
      <c r="E563" s="20">
        <v>0.02</v>
      </c>
      <c r="F563" s="20">
        <v>1616.28</v>
      </c>
      <c r="Q563" s="20">
        <v>56.2</v>
      </c>
      <c r="R563" s="20">
        <v>65</v>
      </c>
      <c r="S563" s="20">
        <v>65.25</v>
      </c>
      <c r="T563" s="20">
        <v>-0.25</v>
      </c>
      <c r="U563" s="20">
        <v>0.01</v>
      </c>
      <c r="V563" s="20">
        <v>1674.86</v>
      </c>
    </row>
    <row r="564" spans="1:22" ht="16.8" x14ac:dyDescent="0.3">
      <c r="A564" s="20">
        <v>56.4</v>
      </c>
      <c r="B564" s="20">
        <v>65.16</v>
      </c>
      <c r="C564" s="20">
        <v>65</v>
      </c>
      <c r="D564" s="20">
        <v>-0.16</v>
      </c>
      <c r="E564" s="20">
        <v>0.01</v>
      </c>
      <c r="F564" s="20">
        <v>1611.91</v>
      </c>
      <c r="Q564" s="25">
        <v>56.3</v>
      </c>
      <c r="R564" s="20">
        <v>65</v>
      </c>
      <c r="S564" s="20">
        <v>65.260000000000005</v>
      </c>
      <c r="T564" s="20">
        <v>-0.26</v>
      </c>
      <c r="U564" s="20">
        <v>-0.01</v>
      </c>
      <c r="V564" s="20">
        <v>1670.75</v>
      </c>
    </row>
    <row r="565" spans="1:22" ht="16.8" x14ac:dyDescent="0.3">
      <c r="A565" s="20">
        <v>56.5</v>
      </c>
      <c r="B565" s="20">
        <v>65.150000000000006</v>
      </c>
      <c r="C565" s="20">
        <v>65</v>
      </c>
      <c r="D565" s="20">
        <v>-0.15</v>
      </c>
      <c r="E565" s="20">
        <v>0</v>
      </c>
      <c r="F565" s="20">
        <v>1609.55</v>
      </c>
      <c r="Q565" s="20">
        <v>56.4</v>
      </c>
      <c r="R565" s="20">
        <v>65</v>
      </c>
      <c r="S565" s="20">
        <v>65.23</v>
      </c>
      <c r="T565" s="20">
        <v>-0.23</v>
      </c>
      <c r="U565" s="20">
        <v>0.03</v>
      </c>
      <c r="V565" s="20">
        <v>1687.17</v>
      </c>
    </row>
    <row r="566" spans="1:22" ht="16.8" x14ac:dyDescent="0.3">
      <c r="A566" s="20">
        <v>56.6</v>
      </c>
      <c r="B566" s="20">
        <v>65.180000000000007</v>
      </c>
      <c r="C566" s="20">
        <v>65</v>
      </c>
      <c r="D566" s="20">
        <v>-0.18</v>
      </c>
      <c r="E566" s="20">
        <v>-0.03</v>
      </c>
      <c r="F566" s="20">
        <v>1583.43</v>
      </c>
      <c r="Q566" s="25">
        <v>56.5</v>
      </c>
      <c r="R566" s="20">
        <v>65</v>
      </c>
      <c r="S566" s="20">
        <v>65.27</v>
      </c>
      <c r="T566" s="20">
        <v>-0.27</v>
      </c>
      <c r="U566" s="20">
        <v>-0.04</v>
      </c>
      <c r="V566" s="20">
        <v>1666.57</v>
      </c>
    </row>
    <row r="567" spans="1:22" ht="16.8" x14ac:dyDescent="0.3">
      <c r="A567" s="20">
        <v>56.7</v>
      </c>
      <c r="B567" s="20">
        <v>65.17</v>
      </c>
      <c r="C567" s="20">
        <v>65</v>
      </c>
      <c r="D567" s="20">
        <v>-0.17</v>
      </c>
      <c r="E567" s="20">
        <v>0.01</v>
      </c>
      <c r="F567" s="20">
        <v>1611.4</v>
      </c>
      <c r="Q567" s="25">
        <v>56.6</v>
      </c>
      <c r="R567" s="20">
        <v>65</v>
      </c>
      <c r="S567" s="20">
        <v>65.209999999999994</v>
      </c>
      <c r="T567" s="20">
        <v>-0.21</v>
      </c>
      <c r="U567" s="20">
        <v>0.06</v>
      </c>
      <c r="V567" s="20">
        <v>1697.11</v>
      </c>
    </row>
    <row r="568" spans="1:22" ht="16.8" x14ac:dyDescent="0.3">
      <c r="A568" s="20">
        <v>56.8</v>
      </c>
      <c r="B568" s="20">
        <v>65.17</v>
      </c>
      <c r="C568" s="20">
        <v>65</v>
      </c>
      <c r="D568" s="20">
        <v>-0.17</v>
      </c>
      <c r="E568" s="20">
        <v>0</v>
      </c>
      <c r="F568" s="20">
        <v>1599.77</v>
      </c>
      <c r="Q568" s="20">
        <v>56.7</v>
      </c>
      <c r="R568" s="20">
        <v>65</v>
      </c>
      <c r="S568" s="20">
        <v>65.239999999999995</v>
      </c>
      <c r="T568" s="20">
        <v>-0.24</v>
      </c>
      <c r="U568" s="20">
        <v>-0.03</v>
      </c>
      <c r="V568" s="20">
        <v>1681.06</v>
      </c>
    </row>
    <row r="569" spans="1:22" ht="16.8" x14ac:dyDescent="0.3">
      <c r="A569" s="20">
        <v>56.9</v>
      </c>
      <c r="B569" s="20">
        <v>65.150000000000006</v>
      </c>
      <c r="C569" s="20">
        <v>65</v>
      </c>
      <c r="D569" s="20">
        <v>-0.15</v>
      </c>
      <c r="E569" s="20">
        <v>0.02</v>
      </c>
      <c r="F569" s="20">
        <v>1621.79</v>
      </c>
      <c r="Q569" s="25">
        <v>56.8</v>
      </c>
      <c r="R569" s="20">
        <v>65</v>
      </c>
      <c r="S569" s="20">
        <v>65.290000000000006</v>
      </c>
      <c r="T569" s="20">
        <v>-0.28999999999999998</v>
      </c>
      <c r="U569" s="20">
        <v>-0.04</v>
      </c>
      <c r="V569" s="20">
        <v>1658.02</v>
      </c>
    </row>
    <row r="570" spans="1:22" ht="16.8" x14ac:dyDescent="0.3">
      <c r="A570" s="20">
        <v>57</v>
      </c>
      <c r="B570" s="20">
        <v>65.150000000000006</v>
      </c>
      <c r="C570" s="20">
        <v>65</v>
      </c>
      <c r="D570" s="20">
        <v>-0.15</v>
      </c>
      <c r="E570" s="20">
        <v>0</v>
      </c>
      <c r="F570" s="20">
        <v>1605.57</v>
      </c>
      <c r="Q570" s="20">
        <v>56.9</v>
      </c>
      <c r="R570" s="20">
        <v>65</v>
      </c>
      <c r="S570" s="20">
        <v>65.22</v>
      </c>
      <c r="T570" s="20">
        <v>-0.22</v>
      </c>
      <c r="U570" s="20">
        <v>7.0000000000000007E-2</v>
      </c>
      <c r="V570" s="20">
        <v>1693.18</v>
      </c>
    </row>
    <row r="571" spans="1:22" ht="16.8" x14ac:dyDescent="0.3">
      <c r="A571" s="20">
        <v>57.1</v>
      </c>
      <c r="B571" s="20">
        <v>65.17</v>
      </c>
      <c r="C571" s="20">
        <v>65</v>
      </c>
      <c r="D571" s="20">
        <v>-0.17</v>
      </c>
      <c r="E571" s="20">
        <v>-0.02</v>
      </c>
      <c r="F571" s="20">
        <v>1588.71</v>
      </c>
      <c r="Q571" s="25">
        <v>57</v>
      </c>
      <c r="R571" s="20">
        <v>65</v>
      </c>
      <c r="S571" s="20">
        <v>65.239999999999995</v>
      </c>
      <c r="T571" s="20">
        <v>-0.24</v>
      </c>
      <c r="U571" s="20">
        <v>-0.02</v>
      </c>
      <c r="V571" s="20">
        <v>1683.11</v>
      </c>
    </row>
    <row r="572" spans="1:22" ht="16.8" x14ac:dyDescent="0.3">
      <c r="A572" s="20">
        <v>57.2</v>
      </c>
      <c r="B572" s="20">
        <v>65.180000000000007</v>
      </c>
      <c r="C572" s="20">
        <v>65</v>
      </c>
      <c r="D572" s="20">
        <v>-0.18</v>
      </c>
      <c r="E572" s="20">
        <v>-0.01</v>
      </c>
      <c r="F572" s="20">
        <v>1591.63</v>
      </c>
      <c r="Q572" s="25">
        <v>57.1</v>
      </c>
      <c r="R572" s="20">
        <v>65</v>
      </c>
      <c r="S572" s="20">
        <v>65.239999999999995</v>
      </c>
      <c r="T572" s="20">
        <v>-0.24</v>
      </c>
      <c r="U572" s="20">
        <v>0</v>
      </c>
      <c r="V572" s="20">
        <v>1681.06</v>
      </c>
    </row>
    <row r="573" spans="1:22" ht="16.8" x14ac:dyDescent="0.3">
      <c r="A573" s="20">
        <v>57.3</v>
      </c>
      <c r="B573" s="20">
        <v>65.2</v>
      </c>
      <c r="C573" s="20">
        <v>65</v>
      </c>
      <c r="D573" s="20">
        <v>-0.2</v>
      </c>
      <c r="E573" s="20">
        <v>-0.02</v>
      </c>
      <c r="F573" s="20">
        <v>1585.92</v>
      </c>
      <c r="Q573" s="20">
        <v>57.2</v>
      </c>
      <c r="R573" s="20">
        <v>65</v>
      </c>
      <c r="S573" s="20">
        <v>65.260000000000005</v>
      </c>
      <c r="T573" s="20">
        <v>-0.26</v>
      </c>
      <c r="U573" s="20">
        <v>-0.02</v>
      </c>
      <c r="V573" s="20">
        <v>1672.81</v>
      </c>
    </row>
    <row r="574" spans="1:22" ht="16.8" x14ac:dyDescent="0.3">
      <c r="A574" s="20">
        <v>57.4</v>
      </c>
      <c r="B574" s="20">
        <v>65.16</v>
      </c>
      <c r="C574" s="20">
        <v>65</v>
      </c>
      <c r="D574" s="20">
        <v>-0.16</v>
      </c>
      <c r="E574" s="20">
        <v>0.04</v>
      </c>
      <c r="F574" s="20">
        <v>1629.02</v>
      </c>
      <c r="Q574" s="25">
        <v>57.3</v>
      </c>
      <c r="R574" s="20">
        <v>65</v>
      </c>
      <c r="S574" s="20">
        <v>65.239999999999995</v>
      </c>
      <c r="T574" s="20">
        <v>-0.24</v>
      </c>
      <c r="U574" s="20">
        <v>0.02</v>
      </c>
      <c r="V574" s="20">
        <v>1683.11</v>
      </c>
    </row>
    <row r="575" spans="1:22" ht="16.8" x14ac:dyDescent="0.3">
      <c r="A575" s="20">
        <v>57.5</v>
      </c>
      <c r="B575" s="20">
        <v>65.17</v>
      </c>
      <c r="C575" s="20">
        <v>65</v>
      </c>
      <c r="D575" s="20">
        <v>-0.17</v>
      </c>
      <c r="E575" s="20">
        <v>-0.02</v>
      </c>
      <c r="F575" s="20">
        <v>1589.01</v>
      </c>
      <c r="Q575" s="20">
        <v>57.4</v>
      </c>
      <c r="R575" s="20">
        <v>65</v>
      </c>
      <c r="S575" s="20">
        <v>65.25</v>
      </c>
      <c r="T575" s="20">
        <v>-0.25</v>
      </c>
      <c r="U575" s="20">
        <v>-0.01</v>
      </c>
      <c r="V575" s="20">
        <v>1678.99</v>
      </c>
    </row>
    <row r="576" spans="1:22" ht="16.8" x14ac:dyDescent="0.3">
      <c r="A576" s="20">
        <v>57.6</v>
      </c>
      <c r="B576" s="20">
        <v>65.150000000000006</v>
      </c>
      <c r="C576" s="20">
        <v>65</v>
      </c>
      <c r="D576" s="20">
        <v>-0.15</v>
      </c>
      <c r="E576" s="20">
        <v>0.03</v>
      </c>
      <c r="F576" s="20">
        <v>1622.26</v>
      </c>
      <c r="Q576" s="25">
        <v>57.5</v>
      </c>
      <c r="R576" s="20">
        <v>65</v>
      </c>
      <c r="S576" s="20">
        <v>65.25</v>
      </c>
      <c r="T576" s="20">
        <v>-0.25</v>
      </c>
      <c r="U576" s="20">
        <v>0</v>
      </c>
      <c r="V576" s="20">
        <v>1678.99</v>
      </c>
    </row>
    <row r="577" spans="1:22" ht="16.8" x14ac:dyDescent="0.3">
      <c r="A577" s="20">
        <v>57.7</v>
      </c>
      <c r="B577" s="20">
        <v>65.150000000000006</v>
      </c>
      <c r="C577" s="20">
        <v>65</v>
      </c>
      <c r="D577" s="20">
        <v>-0.15</v>
      </c>
      <c r="E577" s="20">
        <v>-0.01</v>
      </c>
      <c r="F577" s="20">
        <v>1596.81</v>
      </c>
      <c r="Q577" s="25">
        <v>57.6</v>
      </c>
      <c r="R577" s="20">
        <v>65</v>
      </c>
      <c r="S577" s="20">
        <v>65.239999999999995</v>
      </c>
      <c r="T577" s="20">
        <v>-0.24</v>
      </c>
      <c r="U577" s="20">
        <v>0</v>
      </c>
      <c r="V577" s="20">
        <v>1681.06</v>
      </c>
    </row>
    <row r="578" spans="1:22" ht="16.8" x14ac:dyDescent="0.3">
      <c r="A578" s="20">
        <v>57.8</v>
      </c>
      <c r="B578" s="20">
        <v>65.12</v>
      </c>
      <c r="C578" s="20">
        <v>65</v>
      </c>
      <c r="D578" s="20">
        <v>-0.12</v>
      </c>
      <c r="E578" s="20">
        <v>0.04</v>
      </c>
      <c r="F578" s="20">
        <v>1631.43</v>
      </c>
      <c r="Q578" s="20">
        <v>57.7</v>
      </c>
      <c r="R578" s="20">
        <v>65</v>
      </c>
      <c r="S578" s="20">
        <v>65.25</v>
      </c>
      <c r="T578" s="20">
        <v>-0.25</v>
      </c>
      <c r="U578" s="20">
        <v>0</v>
      </c>
      <c r="V578" s="20">
        <v>1678.99</v>
      </c>
    </row>
    <row r="579" spans="1:22" ht="16.8" x14ac:dyDescent="0.3">
      <c r="A579" s="20">
        <v>57.9</v>
      </c>
      <c r="B579" s="20">
        <v>65.14</v>
      </c>
      <c r="C579" s="20">
        <v>65</v>
      </c>
      <c r="D579" s="20">
        <v>-0.14000000000000001</v>
      </c>
      <c r="E579" s="20">
        <v>-0.02</v>
      </c>
      <c r="F579" s="20">
        <v>1590.85</v>
      </c>
      <c r="Q579" s="25">
        <v>57.8</v>
      </c>
      <c r="R579" s="20">
        <v>65</v>
      </c>
      <c r="S579" s="20">
        <v>65.239999999999995</v>
      </c>
      <c r="T579" s="20">
        <v>-0.24</v>
      </c>
      <c r="U579" s="20">
        <v>0.01</v>
      </c>
      <c r="V579" s="20">
        <v>1683.11</v>
      </c>
    </row>
    <row r="580" spans="1:22" ht="16.8" x14ac:dyDescent="0.3">
      <c r="A580" s="20">
        <v>58</v>
      </c>
      <c r="B580" s="20">
        <v>65.13</v>
      </c>
      <c r="C580" s="20">
        <v>65</v>
      </c>
      <c r="D580" s="20">
        <v>-0.13</v>
      </c>
      <c r="E580" s="20">
        <v>0.01</v>
      </c>
      <c r="F580" s="20">
        <v>1613.66</v>
      </c>
      <c r="Q580" s="20">
        <v>57.9</v>
      </c>
      <c r="R580" s="20">
        <v>65</v>
      </c>
      <c r="S580" s="20">
        <v>65.22</v>
      </c>
      <c r="T580" s="20">
        <v>-0.22</v>
      </c>
      <c r="U580" s="20">
        <v>0.02</v>
      </c>
      <c r="V580" s="20">
        <v>1693.18</v>
      </c>
    </row>
    <row r="581" spans="1:22" ht="16.8" x14ac:dyDescent="0.3">
      <c r="A581" s="20">
        <v>58.1</v>
      </c>
      <c r="B581" s="20">
        <v>65.12</v>
      </c>
      <c r="C581" s="20">
        <v>65</v>
      </c>
      <c r="D581" s="20">
        <v>-0.12</v>
      </c>
      <c r="E581" s="20">
        <v>0.01</v>
      </c>
      <c r="F581" s="20">
        <v>1612.02</v>
      </c>
      <c r="Q581" s="25">
        <v>58</v>
      </c>
      <c r="R581" s="20">
        <v>65</v>
      </c>
      <c r="S581" s="20">
        <v>65.239999999999995</v>
      </c>
      <c r="T581" s="20">
        <v>-0.24</v>
      </c>
      <c r="U581" s="20">
        <v>-0.02</v>
      </c>
      <c r="V581" s="20">
        <v>1683.11</v>
      </c>
    </row>
    <row r="582" spans="1:22" ht="16.8" x14ac:dyDescent="0.3">
      <c r="A582" s="20">
        <v>58.2</v>
      </c>
      <c r="B582" s="20">
        <v>65.06</v>
      </c>
      <c r="C582" s="20">
        <v>65</v>
      </c>
      <c r="D582" s="20">
        <v>-0.06</v>
      </c>
      <c r="E582" s="20">
        <v>0.06</v>
      </c>
      <c r="F582" s="20">
        <v>1652.64</v>
      </c>
      <c r="Q582" s="25">
        <v>58.1</v>
      </c>
      <c r="R582" s="20">
        <v>65</v>
      </c>
      <c r="S582" s="20">
        <v>65.25</v>
      </c>
      <c r="T582" s="20">
        <v>-0.25</v>
      </c>
      <c r="U582" s="20">
        <v>-0.01</v>
      </c>
      <c r="V582" s="20">
        <v>1676.92</v>
      </c>
    </row>
    <row r="583" spans="1:22" ht="16.8" x14ac:dyDescent="0.3">
      <c r="A583" s="20">
        <v>58.3</v>
      </c>
      <c r="B583" s="20">
        <v>65.099999999999994</v>
      </c>
      <c r="C583" s="20">
        <v>65</v>
      </c>
      <c r="D583" s="20">
        <v>-0.1</v>
      </c>
      <c r="E583" s="20">
        <v>-0.04</v>
      </c>
      <c r="F583" s="20">
        <v>1585.8</v>
      </c>
      <c r="Q583" s="20">
        <v>58.2</v>
      </c>
      <c r="R583" s="20">
        <v>65</v>
      </c>
      <c r="S583" s="20">
        <v>65.25</v>
      </c>
      <c r="T583" s="20">
        <v>-0.25</v>
      </c>
      <c r="U583" s="20">
        <v>0</v>
      </c>
      <c r="V583" s="20">
        <v>1678.99</v>
      </c>
    </row>
    <row r="584" spans="1:22" ht="16.8" x14ac:dyDescent="0.3">
      <c r="A584" s="20">
        <v>58.4</v>
      </c>
      <c r="B584" s="20">
        <v>65.069999999999993</v>
      </c>
      <c r="C584" s="20">
        <v>65</v>
      </c>
      <c r="D584" s="20">
        <v>-7.0000000000000007E-2</v>
      </c>
      <c r="E584" s="20">
        <v>0.02</v>
      </c>
      <c r="F584" s="20">
        <v>1629.16</v>
      </c>
      <c r="Q584" s="25">
        <v>58.3</v>
      </c>
      <c r="R584" s="20">
        <v>65</v>
      </c>
      <c r="S584" s="20">
        <v>65.209999999999994</v>
      </c>
      <c r="T584" s="20">
        <v>-0.21</v>
      </c>
      <c r="U584" s="20">
        <v>0.03</v>
      </c>
      <c r="V584" s="20">
        <v>1695.15</v>
      </c>
    </row>
    <row r="585" spans="1:22" ht="16.8" x14ac:dyDescent="0.3">
      <c r="A585" s="20">
        <v>58.5</v>
      </c>
      <c r="B585" s="20">
        <v>65.09</v>
      </c>
      <c r="C585" s="20">
        <v>65</v>
      </c>
      <c r="D585" s="20">
        <v>-0.09</v>
      </c>
      <c r="E585" s="20">
        <v>-0.02</v>
      </c>
      <c r="F585" s="20">
        <v>1599.92</v>
      </c>
      <c r="Q585" s="20">
        <v>58.4</v>
      </c>
      <c r="R585" s="20">
        <v>65</v>
      </c>
      <c r="S585" s="20">
        <v>65.290000000000006</v>
      </c>
      <c r="T585" s="20">
        <v>-0.28999999999999998</v>
      </c>
      <c r="U585" s="20">
        <v>-7.0000000000000007E-2</v>
      </c>
      <c r="V585" s="20">
        <v>1658.02</v>
      </c>
    </row>
    <row r="586" spans="1:22" ht="16.8" x14ac:dyDescent="0.3">
      <c r="A586" s="20">
        <v>58.6</v>
      </c>
      <c r="B586" s="20">
        <v>65.08</v>
      </c>
      <c r="C586" s="20">
        <v>65</v>
      </c>
      <c r="D586" s="20">
        <v>-0.08</v>
      </c>
      <c r="E586" s="20">
        <v>0.01</v>
      </c>
      <c r="F586" s="20">
        <v>1620.18</v>
      </c>
      <c r="Q586" s="25">
        <v>58.5</v>
      </c>
      <c r="R586" s="20">
        <v>65</v>
      </c>
      <c r="S586" s="20">
        <v>65.209999999999994</v>
      </c>
      <c r="T586" s="20">
        <v>-0.21</v>
      </c>
      <c r="U586" s="20">
        <v>0.08</v>
      </c>
      <c r="V586" s="20">
        <v>1697.11</v>
      </c>
    </row>
    <row r="587" spans="1:22" ht="16.8" x14ac:dyDescent="0.3">
      <c r="A587" s="20">
        <v>58.7</v>
      </c>
      <c r="B587" s="20">
        <v>65.069999999999993</v>
      </c>
      <c r="C587" s="20">
        <v>65</v>
      </c>
      <c r="D587" s="20">
        <v>-7.0000000000000007E-2</v>
      </c>
      <c r="E587" s="20">
        <v>0.01</v>
      </c>
      <c r="F587" s="20">
        <v>1618.66</v>
      </c>
      <c r="Q587" s="25">
        <v>58.6</v>
      </c>
      <c r="R587" s="20">
        <v>65</v>
      </c>
      <c r="S587" s="20">
        <v>65.27</v>
      </c>
      <c r="T587" s="20">
        <v>-0.27</v>
      </c>
      <c r="U587" s="20">
        <v>-0.06</v>
      </c>
      <c r="V587" s="20">
        <v>1664.47</v>
      </c>
    </row>
    <row r="588" spans="1:22" ht="16.8" x14ac:dyDescent="0.3">
      <c r="A588" s="20">
        <v>58.8</v>
      </c>
      <c r="B588" s="20">
        <v>65.08</v>
      </c>
      <c r="C588" s="20">
        <v>65</v>
      </c>
      <c r="D588" s="20">
        <v>-0.08</v>
      </c>
      <c r="E588" s="20">
        <v>-0.01</v>
      </c>
      <c r="F588" s="20">
        <v>1603.31</v>
      </c>
      <c r="Q588" s="20">
        <v>58.7</v>
      </c>
      <c r="R588" s="20">
        <v>65</v>
      </c>
      <c r="S588" s="20">
        <v>65.22</v>
      </c>
      <c r="T588" s="20">
        <v>-0.22</v>
      </c>
      <c r="U588" s="20">
        <v>0.05</v>
      </c>
      <c r="V588" s="20">
        <v>1691.18</v>
      </c>
    </row>
    <row r="589" spans="1:22" ht="16.8" x14ac:dyDescent="0.3">
      <c r="A589" s="20">
        <v>58.9</v>
      </c>
      <c r="B589" s="20">
        <v>65.08</v>
      </c>
      <c r="C589" s="20">
        <v>65</v>
      </c>
      <c r="D589" s="20">
        <v>-0.08</v>
      </c>
      <c r="E589" s="20">
        <v>0</v>
      </c>
      <c r="F589" s="20">
        <v>1614.35</v>
      </c>
      <c r="Q589" s="25">
        <v>58.8</v>
      </c>
      <c r="R589" s="20">
        <v>65</v>
      </c>
      <c r="S589" s="20">
        <v>65.25</v>
      </c>
      <c r="T589" s="20">
        <v>-0.25</v>
      </c>
      <c r="U589" s="20">
        <v>-0.03</v>
      </c>
      <c r="V589" s="20">
        <v>1674.86</v>
      </c>
    </row>
    <row r="590" spans="1:22" ht="16.8" x14ac:dyDescent="0.3">
      <c r="A590" s="20">
        <v>59</v>
      </c>
      <c r="B590" s="20">
        <v>65.06</v>
      </c>
      <c r="C590" s="20">
        <v>65</v>
      </c>
      <c r="D590" s="20">
        <v>-0.06</v>
      </c>
      <c r="E590" s="20">
        <v>0.01</v>
      </c>
      <c r="F590" s="20">
        <v>1621.42</v>
      </c>
      <c r="Q590" s="20">
        <v>58.9</v>
      </c>
      <c r="R590" s="20">
        <v>65</v>
      </c>
      <c r="S590" s="20">
        <v>65.3</v>
      </c>
      <c r="T590" s="20">
        <v>-0.3</v>
      </c>
      <c r="U590" s="20">
        <v>-0.04</v>
      </c>
      <c r="V590" s="20">
        <v>1651.41</v>
      </c>
    </row>
    <row r="591" spans="1:22" ht="16.8" x14ac:dyDescent="0.3">
      <c r="A591" s="20">
        <v>59.1</v>
      </c>
      <c r="B591" s="20">
        <v>65.069999999999993</v>
      </c>
      <c r="C591" s="20">
        <v>65</v>
      </c>
      <c r="D591" s="20">
        <v>-7.0000000000000007E-2</v>
      </c>
      <c r="E591" s="20">
        <v>-0.01</v>
      </c>
      <c r="F591" s="20">
        <v>1606.74</v>
      </c>
      <c r="Q591" s="25">
        <v>59</v>
      </c>
      <c r="R591" s="20">
        <v>65</v>
      </c>
      <c r="S591" s="20">
        <v>65.27</v>
      </c>
      <c r="T591" s="20">
        <v>-0.27</v>
      </c>
      <c r="U591" s="20">
        <v>0.03</v>
      </c>
      <c r="V591" s="20">
        <v>1666.57</v>
      </c>
    </row>
    <row r="592" spans="1:22" ht="16.8" x14ac:dyDescent="0.3">
      <c r="A592" s="20">
        <v>59.2</v>
      </c>
      <c r="B592" s="20">
        <v>65.069999999999993</v>
      </c>
      <c r="C592" s="20">
        <v>65</v>
      </c>
      <c r="D592" s="20">
        <v>-7.0000000000000007E-2</v>
      </c>
      <c r="E592" s="20">
        <v>0</v>
      </c>
      <c r="F592" s="20">
        <v>1611.85</v>
      </c>
      <c r="Q592" s="25">
        <v>59.1</v>
      </c>
      <c r="R592" s="20">
        <v>65</v>
      </c>
      <c r="S592" s="20">
        <v>65.27</v>
      </c>
      <c r="T592" s="20">
        <v>-0.27</v>
      </c>
      <c r="U592" s="20">
        <v>0</v>
      </c>
      <c r="V592" s="20">
        <v>1668.68</v>
      </c>
    </row>
    <row r="593" spans="1:22" ht="16.8" x14ac:dyDescent="0.3">
      <c r="A593" s="20">
        <v>59.3</v>
      </c>
      <c r="B593" s="20">
        <v>65.09</v>
      </c>
      <c r="C593" s="20">
        <v>65</v>
      </c>
      <c r="D593" s="20">
        <v>-0.09</v>
      </c>
      <c r="E593" s="20">
        <v>-0.02</v>
      </c>
      <c r="F593" s="20">
        <v>1595.17</v>
      </c>
      <c r="Q593" s="20">
        <v>59.2</v>
      </c>
      <c r="R593" s="20">
        <v>65</v>
      </c>
      <c r="S593" s="20">
        <v>65.27</v>
      </c>
      <c r="T593" s="20">
        <v>-0.27</v>
      </c>
      <c r="U593" s="20">
        <v>0</v>
      </c>
      <c r="V593" s="20">
        <v>1668.68</v>
      </c>
    </row>
    <row r="594" spans="1:22" ht="16.8" x14ac:dyDescent="0.3">
      <c r="A594" s="20">
        <v>59.4</v>
      </c>
      <c r="B594" s="20">
        <v>65.069999999999993</v>
      </c>
      <c r="C594" s="20">
        <v>65</v>
      </c>
      <c r="D594" s="20">
        <v>-7.0000000000000007E-2</v>
      </c>
      <c r="E594" s="20">
        <v>0.02</v>
      </c>
      <c r="F594" s="20">
        <v>1627.96</v>
      </c>
      <c r="Q594" s="25">
        <v>59.3</v>
      </c>
      <c r="R594" s="20">
        <v>65</v>
      </c>
      <c r="S594" s="20">
        <v>65.27</v>
      </c>
      <c r="T594" s="20">
        <v>-0.27</v>
      </c>
      <c r="U594" s="20">
        <v>0</v>
      </c>
      <c r="V594" s="20">
        <v>1666.57</v>
      </c>
    </row>
    <row r="595" spans="1:22" ht="16.8" x14ac:dyDescent="0.3">
      <c r="A595" s="20">
        <v>59.5</v>
      </c>
      <c r="B595" s="20">
        <v>65.11</v>
      </c>
      <c r="C595" s="20">
        <v>65</v>
      </c>
      <c r="D595" s="20">
        <v>-0.11</v>
      </c>
      <c r="E595" s="20">
        <v>-0.04</v>
      </c>
      <c r="F595" s="20">
        <v>1575.65</v>
      </c>
      <c r="Q595" s="20">
        <v>59.4</v>
      </c>
      <c r="R595" s="20">
        <v>65</v>
      </c>
      <c r="S595" s="20">
        <v>65.27</v>
      </c>
      <c r="T595" s="20">
        <v>-0.27</v>
      </c>
      <c r="U595" s="20">
        <v>0</v>
      </c>
      <c r="V595" s="20">
        <v>1666.57</v>
      </c>
    </row>
    <row r="596" spans="1:22" ht="16.8" x14ac:dyDescent="0.3">
      <c r="A596" s="20">
        <v>59.6</v>
      </c>
      <c r="B596" s="20">
        <v>64.92</v>
      </c>
      <c r="C596" s="20">
        <v>65</v>
      </c>
      <c r="D596" s="20">
        <v>0.08</v>
      </c>
      <c r="E596" s="20">
        <v>0.2</v>
      </c>
      <c r="F596" s="20">
        <v>1766.14</v>
      </c>
      <c r="Q596" s="25">
        <v>59.5</v>
      </c>
      <c r="R596" s="20">
        <v>65</v>
      </c>
      <c r="S596" s="20">
        <v>65.28</v>
      </c>
      <c r="T596" s="20">
        <v>-0.28000000000000003</v>
      </c>
      <c r="U596" s="20">
        <v>-0.01</v>
      </c>
      <c r="V596" s="20">
        <v>1662.33</v>
      </c>
    </row>
    <row r="597" spans="1:22" ht="16.8" x14ac:dyDescent="0.3">
      <c r="A597" s="20">
        <v>59.7</v>
      </c>
      <c r="B597" s="20">
        <v>65.13</v>
      </c>
      <c r="C597" s="20">
        <v>65</v>
      </c>
      <c r="D597" s="20">
        <v>-0.13</v>
      </c>
      <c r="E597" s="20">
        <v>-0.22</v>
      </c>
      <c r="F597" s="20">
        <v>1458.64</v>
      </c>
      <c r="Q597" s="20">
        <v>59.6</v>
      </c>
      <c r="R597" s="20">
        <v>65</v>
      </c>
      <c r="S597" s="20">
        <v>65.290000000000006</v>
      </c>
      <c r="T597" s="20">
        <v>-0.28999999999999998</v>
      </c>
      <c r="U597" s="20">
        <v>-0.01</v>
      </c>
      <c r="V597" s="20">
        <v>1658.02</v>
      </c>
    </row>
    <row r="598" spans="1:22" ht="16.8" x14ac:dyDescent="0.3">
      <c r="A598" s="20">
        <v>59.8</v>
      </c>
      <c r="B598" s="20">
        <v>64.53</v>
      </c>
      <c r="C598" s="20">
        <v>65</v>
      </c>
      <c r="D598" s="20">
        <v>0.47</v>
      </c>
      <c r="E598" s="20">
        <v>0.6</v>
      </c>
      <c r="F598" s="20">
        <v>2096.04</v>
      </c>
      <c r="Q598" s="25">
        <v>59.7</v>
      </c>
      <c r="R598" s="20">
        <v>65</v>
      </c>
      <c r="S598" s="20">
        <v>65.27</v>
      </c>
      <c r="T598" s="20">
        <v>-0.27</v>
      </c>
      <c r="U598" s="20">
        <v>0.02</v>
      </c>
      <c r="V598" s="20">
        <v>1668.68</v>
      </c>
    </row>
    <row r="599" spans="1:22" ht="16.8" x14ac:dyDescent="0.3">
      <c r="A599" s="20">
        <v>59.9</v>
      </c>
      <c r="B599" s="20">
        <v>65.11</v>
      </c>
      <c r="C599" s="20">
        <v>65</v>
      </c>
      <c r="D599" s="20">
        <v>-0.11</v>
      </c>
      <c r="E599" s="20">
        <v>-0.57999999999999996</v>
      </c>
      <c r="F599" s="20">
        <v>1228.79</v>
      </c>
      <c r="Q599" s="25">
        <v>59.8</v>
      </c>
      <c r="R599" s="20">
        <v>65</v>
      </c>
      <c r="S599" s="20">
        <v>65.3</v>
      </c>
      <c r="T599" s="20">
        <v>-0.3</v>
      </c>
      <c r="U599" s="20">
        <v>-0.03</v>
      </c>
      <c r="V599" s="20">
        <v>1651.41</v>
      </c>
    </row>
    <row r="600" spans="1:22" ht="16.8" x14ac:dyDescent="0.3">
      <c r="A600" s="20">
        <v>60</v>
      </c>
      <c r="B600" s="20">
        <v>64.48</v>
      </c>
      <c r="C600" s="20">
        <v>65</v>
      </c>
      <c r="D600" s="20">
        <v>0.52</v>
      </c>
      <c r="E600" s="20">
        <v>0.62</v>
      </c>
      <c r="F600" s="20">
        <v>2118.0300000000002</v>
      </c>
      <c r="Q600" s="20">
        <v>59.9</v>
      </c>
      <c r="R600" s="20">
        <v>65</v>
      </c>
      <c r="S600" s="20">
        <v>65.25</v>
      </c>
      <c r="T600" s="20">
        <v>-0.25</v>
      </c>
      <c r="U600" s="20">
        <v>0.05</v>
      </c>
      <c r="V600" s="20">
        <v>1678.99</v>
      </c>
    </row>
    <row r="601" spans="1:22" ht="16.8" x14ac:dyDescent="0.3">
      <c r="A601" s="20">
        <v>60.1</v>
      </c>
      <c r="B601" s="20">
        <v>65.11</v>
      </c>
      <c r="C601" s="20">
        <v>65</v>
      </c>
      <c r="D601" s="20">
        <v>-0.11</v>
      </c>
      <c r="E601" s="20">
        <v>-0.62</v>
      </c>
      <c r="F601" s="20">
        <v>1198.06</v>
      </c>
      <c r="Q601" s="25">
        <v>60</v>
      </c>
      <c r="R601" s="20">
        <v>65</v>
      </c>
      <c r="S601" s="20">
        <v>65.290000000000006</v>
      </c>
      <c r="T601" s="20">
        <v>-0.28999999999999998</v>
      </c>
      <c r="U601" s="20">
        <v>-0.04</v>
      </c>
      <c r="V601" s="20">
        <v>1655.84</v>
      </c>
    </row>
    <row r="602" spans="1:22" ht="16.8" x14ac:dyDescent="0.3">
      <c r="A602" s="20">
        <v>60.2</v>
      </c>
      <c r="B602" s="20">
        <v>64.430000000000007</v>
      </c>
      <c r="C602" s="20">
        <v>65</v>
      </c>
      <c r="D602" s="20">
        <v>0.56999999999999995</v>
      </c>
      <c r="E602" s="20">
        <v>0.68</v>
      </c>
      <c r="F602" s="20">
        <v>2161.92</v>
      </c>
      <c r="Q602" s="20">
        <v>60.1</v>
      </c>
      <c r="R602" s="20">
        <v>65</v>
      </c>
      <c r="S602" s="20">
        <v>65.290000000000006</v>
      </c>
      <c r="T602" s="20">
        <v>-0.28999999999999998</v>
      </c>
      <c r="U602" s="20">
        <v>0</v>
      </c>
      <c r="V602" s="20">
        <v>1658.02</v>
      </c>
    </row>
    <row r="603" spans="1:22" ht="16.8" x14ac:dyDescent="0.3">
      <c r="A603" s="20">
        <v>60.3</v>
      </c>
      <c r="B603" s="20">
        <v>65.11</v>
      </c>
      <c r="C603" s="20">
        <v>65</v>
      </c>
      <c r="D603" s="20">
        <v>-0.11</v>
      </c>
      <c r="E603" s="20">
        <v>-0.68</v>
      </c>
      <c r="F603" s="20">
        <v>1161.52</v>
      </c>
      <c r="Q603" s="25">
        <v>60.2</v>
      </c>
      <c r="R603" s="20">
        <v>65</v>
      </c>
      <c r="S603" s="20">
        <v>65.25</v>
      </c>
      <c r="T603" s="20">
        <v>-0.25</v>
      </c>
      <c r="U603" s="20">
        <v>0.04</v>
      </c>
      <c r="V603" s="20">
        <v>1676.92</v>
      </c>
    </row>
    <row r="604" spans="1:22" ht="16.8" x14ac:dyDescent="0.3">
      <c r="A604" s="20">
        <v>60.4</v>
      </c>
      <c r="B604" s="20">
        <v>64.459999999999994</v>
      </c>
      <c r="C604" s="20">
        <v>65</v>
      </c>
      <c r="D604" s="20">
        <v>0.54</v>
      </c>
      <c r="E604" s="20">
        <v>0.64</v>
      </c>
      <c r="F604" s="20">
        <v>2135.9699999999998</v>
      </c>
      <c r="Q604" s="25">
        <v>60.3</v>
      </c>
      <c r="R604" s="20">
        <v>65</v>
      </c>
      <c r="S604" s="20">
        <v>65.290000000000006</v>
      </c>
      <c r="T604" s="20">
        <v>-0.28999999999999998</v>
      </c>
      <c r="U604" s="20">
        <v>-0.04</v>
      </c>
      <c r="V604" s="20">
        <v>1653.64</v>
      </c>
    </row>
    <row r="605" spans="1:22" ht="16.8" x14ac:dyDescent="0.3">
      <c r="A605" s="20">
        <v>60.5</v>
      </c>
      <c r="B605" s="20">
        <v>65.150000000000006</v>
      </c>
      <c r="C605" s="20">
        <v>65</v>
      </c>
      <c r="D605" s="20">
        <v>-0.15</v>
      </c>
      <c r="E605" s="20">
        <v>-0.69</v>
      </c>
      <c r="F605" s="20">
        <v>1150.03</v>
      </c>
      <c r="Q605" s="20">
        <v>60.4</v>
      </c>
      <c r="R605" s="20">
        <v>65</v>
      </c>
      <c r="S605" s="20">
        <v>65.28</v>
      </c>
      <c r="T605" s="20">
        <v>-0.28000000000000003</v>
      </c>
      <c r="U605" s="20">
        <v>0.02</v>
      </c>
      <c r="V605" s="20">
        <v>1662.33</v>
      </c>
    </row>
    <row r="606" spans="1:22" ht="16.8" x14ac:dyDescent="0.3">
      <c r="A606" s="20">
        <v>60.6</v>
      </c>
      <c r="B606" s="20">
        <v>64.459999999999994</v>
      </c>
      <c r="C606" s="20">
        <v>65</v>
      </c>
      <c r="D606" s="20">
        <v>0.54</v>
      </c>
      <c r="E606" s="20">
        <v>0.69</v>
      </c>
      <c r="F606" s="20">
        <v>2165.96</v>
      </c>
      <c r="Q606" s="25">
        <v>60.5</v>
      </c>
      <c r="R606" s="20">
        <v>65</v>
      </c>
      <c r="S606" s="20">
        <v>65.290000000000006</v>
      </c>
      <c r="T606" s="20">
        <v>-0.28999999999999998</v>
      </c>
      <c r="U606" s="20">
        <v>-0.01</v>
      </c>
      <c r="V606" s="20">
        <v>1658.02</v>
      </c>
    </row>
    <row r="607" spans="1:22" ht="16.8" x14ac:dyDescent="0.3">
      <c r="A607" s="20">
        <v>60.7</v>
      </c>
      <c r="B607" s="20">
        <v>65.14</v>
      </c>
      <c r="C607" s="20">
        <v>65</v>
      </c>
      <c r="D607" s="20">
        <v>-0.14000000000000001</v>
      </c>
      <c r="E607" s="20">
        <v>-0.67</v>
      </c>
      <c r="F607" s="20">
        <v>1164.1400000000001</v>
      </c>
      <c r="Q607" s="20">
        <v>60.6</v>
      </c>
      <c r="R607" s="20">
        <v>65</v>
      </c>
      <c r="S607" s="20">
        <v>65.25</v>
      </c>
      <c r="T607" s="20">
        <v>-0.25</v>
      </c>
      <c r="U607" s="20">
        <v>0.03</v>
      </c>
      <c r="V607" s="20">
        <v>1674.86</v>
      </c>
    </row>
    <row r="608" spans="1:22" ht="16.8" x14ac:dyDescent="0.3">
      <c r="A608" s="20">
        <v>60.8</v>
      </c>
      <c r="B608" s="20">
        <v>64.459999999999994</v>
      </c>
      <c r="C608" s="20">
        <v>65</v>
      </c>
      <c r="D608" s="20">
        <v>0.54</v>
      </c>
      <c r="E608" s="20">
        <v>0.67</v>
      </c>
      <c r="F608" s="20">
        <v>2156.35</v>
      </c>
      <c r="Q608" s="25">
        <v>60.7</v>
      </c>
      <c r="R608" s="20">
        <v>65</v>
      </c>
      <c r="S608" s="20">
        <v>65.31</v>
      </c>
      <c r="T608" s="20">
        <v>-0.31</v>
      </c>
      <c r="U608" s="20">
        <v>-0.05</v>
      </c>
      <c r="V608" s="20">
        <v>1647.01</v>
      </c>
    </row>
    <row r="609" spans="1:22" ht="16.8" x14ac:dyDescent="0.3">
      <c r="A609" s="20">
        <v>60.9</v>
      </c>
      <c r="B609" s="20">
        <v>65.17</v>
      </c>
      <c r="C609" s="20">
        <v>65</v>
      </c>
      <c r="D609" s="20">
        <v>-0.17</v>
      </c>
      <c r="E609" s="20">
        <v>-0.71</v>
      </c>
      <c r="F609" s="20">
        <v>1138.7</v>
      </c>
      <c r="Q609" s="25">
        <v>60.8</v>
      </c>
      <c r="R609" s="20">
        <v>65</v>
      </c>
      <c r="S609" s="20">
        <v>65.28</v>
      </c>
      <c r="T609" s="20">
        <v>-0.28000000000000003</v>
      </c>
      <c r="U609" s="20">
        <v>0.03</v>
      </c>
      <c r="V609" s="20">
        <v>1662.33</v>
      </c>
    </row>
    <row r="610" spans="1:22" ht="16.8" x14ac:dyDescent="0.3">
      <c r="A610" s="20">
        <v>61</v>
      </c>
      <c r="B610" s="20">
        <v>64.489999999999995</v>
      </c>
      <c r="C610" s="20">
        <v>65</v>
      </c>
      <c r="D610" s="20">
        <v>0.51</v>
      </c>
      <c r="E610" s="20">
        <v>0.68</v>
      </c>
      <c r="F610" s="20">
        <v>2158.58</v>
      </c>
      <c r="Q610" s="20">
        <v>60.9</v>
      </c>
      <c r="R610" s="20">
        <v>65</v>
      </c>
      <c r="S610" s="20">
        <v>65.27</v>
      </c>
      <c r="T610" s="20">
        <v>-0.27</v>
      </c>
      <c r="U610" s="20">
        <v>0.01</v>
      </c>
      <c r="V610" s="20">
        <v>1666.57</v>
      </c>
    </row>
    <row r="611" spans="1:22" ht="16.8" x14ac:dyDescent="0.3">
      <c r="A611" s="20">
        <v>61.1</v>
      </c>
      <c r="B611" s="20">
        <v>65.180000000000007</v>
      </c>
      <c r="C611" s="20">
        <v>65</v>
      </c>
      <c r="D611" s="20">
        <v>-0.18</v>
      </c>
      <c r="E611" s="20">
        <v>-0.69</v>
      </c>
      <c r="F611" s="20">
        <v>1148.78</v>
      </c>
      <c r="Q611" s="25">
        <v>61</v>
      </c>
      <c r="R611" s="20">
        <v>65</v>
      </c>
      <c r="S611" s="20">
        <v>65.27</v>
      </c>
      <c r="T611" s="20">
        <v>-0.27</v>
      </c>
      <c r="U611" s="20">
        <v>0</v>
      </c>
      <c r="V611" s="20">
        <v>1666.57</v>
      </c>
    </row>
    <row r="612" spans="1:22" ht="16.8" x14ac:dyDescent="0.3">
      <c r="A612" s="20">
        <v>61.2</v>
      </c>
      <c r="B612" s="20">
        <v>64.48</v>
      </c>
      <c r="C612" s="20">
        <v>65</v>
      </c>
      <c r="D612" s="20">
        <v>0.52</v>
      </c>
      <c r="E612" s="20">
        <v>0.69</v>
      </c>
      <c r="F612" s="20">
        <v>2167.9499999999998</v>
      </c>
      <c r="Q612" s="20">
        <v>61.1</v>
      </c>
      <c r="R612" s="20">
        <v>65</v>
      </c>
      <c r="S612" s="20">
        <v>65.260000000000005</v>
      </c>
      <c r="T612" s="20">
        <v>-0.26</v>
      </c>
      <c r="U612" s="20">
        <v>0.01</v>
      </c>
      <c r="V612" s="20">
        <v>1670.75</v>
      </c>
    </row>
    <row r="613" spans="1:22" ht="16.8" x14ac:dyDescent="0.3">
      <c r="A613" s="20">
        <v>61.3</v>
      </c>
      <c r="B613" s="20">
        <v>65.180000000000007</v>
      </c>
      <c r="C613" s="20">
        <v>65</v>
      </c>
      <c r="D613" s="20">
        <v>-0.18</v>
      </c>
      <c r="E613" s="20">
        <v>-0.7</v>
      </c>
      <c r="F613" s="20">
        <v>1143.6500000000001</v>
      </c>
      <c r="Q613" s="25">
        <v>61.2</v>
      </c>
      <c r="R613" s="20">
        <v>65</v>
      </c>
      <c r="S613" s="20">
        <v>65.239999999999995</v>
      </c>
      <c r="T613" s="20">
        <v>-0.24</v>
      </c>
      <c r="U613" s="20">
        <v>0.02</v>
      </c>
      <c r="V613" s="20">
        <v>1681.06</v>
      </c>
    </row>
    <row r="614" spans="1:22" ht="16.8" x14ac:dyDescent="0.3">
      <c r="A614" s="20">
        <v>61.4</v>
      </c>
      <c r="B614" s="20">
        <v>64.48</v>
      </c>
      <c r="C614" s="20">
        <v>65</v>
      </c>
      <c r="D614" s="20">
        <v>0.52</v>
      </c>
      <c r="E614" s="20">
        <v>0.7</v>
      </c>
      <c r="F614" s="20">
        <v>2171.39</v>
      </c>
      <c r="Q614" s="25">
        <v>61.3</v>
      </c>
      <c r="R614" s="20">
        <v>65</v>
      </c>
      <c r="S614" s="20">
        <v>65.28</v>
      </c>
      <c r="T614" s="20">
        <v>-0.28000000000000003</v>
      </c>
      <c r="U614" s="20">
        <v>-0.04</v>
      </c>
      <c r="V614" s="20">
        <v>1662.33</v>
      </c>
    </row>
    <row r="615" spans="1:22" ht="16.8" x14ac:dyDescent="0.3">
      <c r="A615" s="20">
        <v>61.5</v>
      </c>
      <c r="B615" s="20">
        <v>65.209999999999994</v>
      </c>
      <c r="C615" s="20">
        <v>65</v>
      </c>
      <c r="D615" s="20">
        <v>-0.21</v>
      </c>
      <c r="E615" s="20">
        <v>-0.73</v>
      </c>
      <c r="F615" s="20">
        <v>1121.3599999999999</v>
      </c>
      <c r="Q615" s="20">
        <v>61.4</v>
      </c>
      <c r="R615" s="20">
        <v>65</v>
      </c>
      <c r="S615" s="20">
        <v>65.23</v>
      </c>
      <c r="T615" s="20">
        <v>-0.23</v>
      </c>
      <c r="U615" s="20">
        <v>0.05</v>
      </c>
      <c r="V615" s="20">
        <v>1687.17</v>
      </c>
    </row>
    <row r="616" spans="1:22" ht="16.8" x14ac:dyDescent="0.3">
      <c r="A616" s="20">
        <v>61.6</v>
      </c>
      <c r="B616" s="20">
        <v>64.52</v>
      </c>
      <c r="C616" s="20">
        <v>65</v>
      </c>
      <c r="D616" s="20">
        <v>0.48</v>
      </c>
      <c r="E616" s="20">
        <v>0.69</v>
      </c>
      <c r="F616" s="20">
        <v>2164.2199999999998</v>
      </c>
      <c r="Q616" s="25">
        <v>61.5</v>
      </c>
      <c r="R616" s="20">
        <v>65</v>
      </c>
      <c r="S616" s="20">
        <v>65.25</v>
      </c>
      <c r="T616" s="20">
        <v>-0.25</v>
      </c>
      <c r="U616" s="20">
        <v>-0.02</v>
      </c>
      <c r="V616" s="20">
        <v>1674.86</v>
      </c>
    </row>
    <row r="617" spans="1:22" ht="16.8" x14ac:dyDescent="0.3">
      <c r="A617" s="20">
        <v>61.7</v>
      </c>
      <c r="B617" s="20">
        <v>65.2</v>
      </c>
      <c r="C617" s="20">
        <v>65</v>
      </c>
      <c r="D617" s="20">
        <v>-0.2</v>
      </c>
      <c r="E617" s="20">
        <v>-0.68</v>
      </c>
      <c r="F617" s="20">
        <v>1153.06</v>
      </c>
      <c r="Q617" s="20">
        <v>61.6</v>
      </c>
      <c r="R617" s="20">
        <v>65</v>
      </c>
      <c r="S617" s="20">
        <v>65.28</v>
      </c>
      <c r="T617" s="20">
        <v>-0.28000000000000003</v>
      </c>
      <c r="U617" s="20">
        <v>-0.02</v>
      </c>
      <c r="V617" s="20">
        <v>1662.33</v>
      </c>
    </row>
    <row r="618" spans="1:22" ht="16.8" x14ac:dyDescent="0.3">
      <c r="A618" s="20">
        <v>61.8</v>
      </c>
      <c r="B618" s="20">
        <v>64.540000000000006</v>
      </c>
      <c r="C618" s="20">
        <v>65</v>
      </c>
      <c r="D618" s="20">
        <v>0.46</v>
      </c>
      <c r="E618" s="20">
        <v>0.66</v>
      </c>
      <c r="F618" s="20">
        <v>2137.1799999999998</v>
      </c>
      <c r="Q618" s="25">
        <v>61.7</v>
      </c>
      <c r="R618" s="20">
        <v>65</v>
      </c>
      <c r="S618" s="20">
        <v>65.260000000000005</v>
      </c>
      <c r="T618" s="20">
        <v>-0.26</v>
      </c>
      <c r="U618" s="20">
        <v>0.02</v>
      </c>
      <c r="V618" s="20">
        <v>1670.75</v>
      </c>
    </row>
    <row r="619" spans="1:22" ht="16.8" x14ac:dyDescent="0.3">
      <c r="A619" s="20">
        <v>61.9</v>
      </c>
      <c r="B619" s="20">
        <v>65.239999999999995</v>
      </c>
      <c r="C619" s="20">
        <v>65</v>
      </c>
      <c r="D619" s="20">
        <v>-0.24</v>
      </c>
      <c r="E619" s="20">
        <v>-0.7</v>
      </c>
      <c r="F619" s="20">
        <v>1133.24</v>
      </c>
      <c r="Q619" s="25">
        <v>61.8</v>
      </c>
      <c r="R619" s="20">
        <v>65</v>
      </c>
      <c r="S619" s="20">
        <v>65.239999999999995</v>
      </c>
      <c r="T619" s="20">
        <v>-0.24</v>
      </c>
      <c r="U619" s="20">
        <v>0.02</v>
      </c>
      <c r="V619" s="20">
        <v>1681.06</v>
      </c>
    </row>
    <row r="620" spans="1:22" ht="16.8" x14ac:dyDescent="0.3">
      <c r="A620" s="20">
        <v>62</v>
      </c>
      <c r="B620" s="20">
        <v>64.53</v>
      </c>
      <c r="C620" s="20">
        <v>65</v>
      </c>
      <c r="D620" s="20">
        <v>0.47</v>
      </c>
      <c r="E620" s="20">
        <v>0.71</v>
      </c>
      <c r="F620" s="20">
        <v>2173.38</v>
      </c>
      <c r="Q620" s="20">
        <v>61.9</v>
      </c>
      <c r="R620" s="20">
        <v>65</v>
      </c>
      <c r="S620" s="20">
        <v>65.25</v>
      </c>
      <c r="T620" s="20">
        <v>-0.25</v>
      </c>
      <c r="U620" s="20">
        <v>-0.01</v>
      </c>
      <c r="V620" s="20">
        <v>1674.86</v>
      </c>
    </row>
    <row r="621" spans="1:22" ht="16.8" x14ac:dyDescent="0.3">
      <c r="A621" s="20">
        <v>62.1</v>
      </c>
      <c r="B621" s="20">
        <v>65.260000000000005</v>
      </c>
      <c r="C621" s="20">
        <v>65</v>
      </c>
      <c r="D621" s="20">
        <v>-0.26</v>
      </c>
      <c r="E621" s="20">
        <v>-0.73</v>
      </c>
      <c r="F621" s="20">
        <v>1115.3</v>
      </c>
      <c r="Q621" s="25">
        <v>62</v>
      </c>
      <c r="R621" s="20">
        <v>65</v>
      </c>
      <c r="S621" s="20">
        <v>65.28</v>
      </c>
      <c r="T621" s="20">
        <v>-0.28000000000000003</v>
      </c>
      <c r="U621" s="20">
        <v>-0.03</v>
      </c>
      <c r="V621" s="20">
        <v>1660.19</v>
      </c>
    </row>
    <row r="622" spans="1:22" ht="16.8" x14ac:dyDescent="0.3">
      <c r="A622" s="20">
        <v>62.2</v>
      </c>
      <c r="B622" s="20">
        <v>64.569999999999993</v>
      </c>
      <c r="C622" s="20">
        <v>65</v>
      </c>
      <c r="D622" s="20">
        <v>0.43</v>
      </c>
      <c r="E622" s="20">
        <v>0.69</v>
      </c>
      <c r="F622" s="20">
        <v>2154.75</v>
      </c>
      <c r="Q622" s="20">
        <v>62.1</v>
      </c>
      <c r="R622" s="20">
        <v>65</v>
      </c>
      <c r="S622" s="20">
        <v>65.25</v>
      </c>
      <c r="T622" s="20">
        <v>-0.25</v>
      </c>
      <c r="U622" s="20">
        <v>0.04</v>
      </c>
      <c r="V622" s="20">
        <v>1678.99</v>
      </c>
    </row>
    <row r="623" spans="1:22" ht="16.8" x14ac:dyDescent="0.3">
      <c r="A623" s="20">
        <v>62.3</v>
      </c>
      <c r="B623" s="20">
        <v>65.260000000000005</v>
      </c>
      <c r="C623" s="20">
        <v>65</v>
      </c>
      <c r="D623" s="20">
        <v>-0.26</v>
      </c>
      <c r="E623" s="20">
        <v>-0.69</v>
      </c>
      <c r="F623" s="20">
        <v>1136.19</v>
      </c>
      <c r="Q623" s="25">
        <v>62.2</v>
      </c>
      <c r="R623" s="20">
        <v>65</v>
      </c>
      <c r="S623" s="20">
        <v>65.290000000000006</v>
      </c>
      <c r="T623" s="20">
        <v>-0.28999999999999998</v>
      </c>
      <c r="U623" s="20">
        <v>-0.05</v>
      </c>
      <c r="V623" s="20">
        <v>1653.64</v>
      </c>
    </row>
    <row r="624" spans="1:22" ht="16.8" x14ac:dyDescent="0.3">
      <c r="A624" s="20">
        <v>62.4</v>
      </c>
      <c r="B624" s="20">
        <v>64.569999999999993</v>
      </c>
      <c r="C624" s="20">
        <v>65</v>
      </c>
      <c r="D624" s="20">
        <v>0.43</v>
      </c>
      <c r="E624" s="20">
        <v>0.69</v>
      </c>
      <c r="F624" s="20">
        <v>2157.81</v>
      </c>
      <c r="Q624" s="25">
        <v>62.3</v>
      </c>
      <c r="R624" s="20">
        <v>65</v>
      </c>
      <c r="S624" s="20">
        <v>65.27</v>
      </c>
      <c r="T624" s="20">
        <v>-0.27</v>
      </c>
      <c r="U624" s="20">
        <v>0.03</v>
      </c>
      <c r="V624" s="20">
        <v>1668.68</v>
      </c>
    </row>
    <row r="625" spans="1:22" ht="16.8" x14ac:dyDescent="0.3">
      <c r="A625" s="20">
        <v>62.5</v>
      </c>
      <c r="B625" s="20">
        <v>65.260000000000005</v>
      </c>
      <c r="C625" s="20">
        <v>65</v>
      </c>
      <c r="D625" s="20">
        <v>-0.26</v>
      </c>
      <c r="E625" s="20">
        <v>-0.69</v>
      </c>
      <c r="F625" s="20">
        <v>1136.5899999999999</v>
      </c>
      <c r="Q625" s="20">
        <v>62.4</v>
      </c>
      <c r="R625" s="20">
        <v>65</v>
      </c>
      <c r="S625" s="20">
        <v>65.27</v>
      </c>
      <c r="T625" s="20">
        <v>-0.27</v>
      </c>
      <c r="U625" s="20">
        <v>-0.01</v>
      </c>
      <c r="V625" s="20">
        <v>1664.47</v>
      </c>
    </row>
    <row r="626" spans="1:22" ht="16.8" x14ac:dyDescent="0.3">
      <c r="A626" s="20">
        <v>62.6</v>
      </c>
      <c r="B626" s="20">
        <v>64.63</v>
      </c>
      <c r="C626" s="20">
        <v>65</v>
      </c>
      <c r="D626" s="20">
        <v>0.37</v>
      </c>
      <c r="E626" s="20">
        <v>0.63</v>
      </c>
      <c r="F626" s="20">
        <v>2108.7199999999998</v>
      </c>
      <c r="Q626" s="25">
        <v>62.5</v>
      </c>
      <c r="R626" s="20">
        <v>65</v>
      </c>
      <c r="S626" s="20">
        <v>65.25</v>
      </c>
      <c r="T626" s="20">
        <v>-0.25</v>
      </c>
      <c r="U626" s="20">
        <v>0.02</v>
      </c>
      <c r="V626" s="20">
        <v>1674.86</v>
      </c>
    </row>
    <row r="627" spans="1:22" ht="16.8" x14ac:dyDescent="0.3">
      <c r="A627" s="20">
        <v>62.7</v>
      </c>
      <c r="B627" s="20">
        <v>65.27</v>
      </c>
      <c r="C627" s="20">
        <v>65</v>
      </c>
      <c r="D627" s="20">
        <v>-0.27</v>
      </c>
      <c r="E627" s="20">
        <v>-0.64</v>
      </c>
      <c r="F627" s="20">
        <v>1166.6099999999999</v>
      </c>
      <c r="Q627" s="20">
        <v>62.6</v>
      </c>
      <c r="R627" s="20">
        <v>65</v>
      </c>
      <c r="S627" s="20">
        <v>65.27</v>
      </c>
      <c r="T627" s="20">
        <v>-0.27</v>
      </c>
      <c r="U627" s="20">
        <v>-0.02</v>
      </c>
      <c r="V627" s="20">
        <v>1664.47</v>
      </c>
    </row>
    <row r="628" spans="1:22" ht="16.8" x14ac:dyDescent="0.3">
      <c r="A628" s="20">
        <v>62.8</v>
      </c>
      <c r="B628" s="20">
        <v>64.58</v>
      </c>
      <c r="C628" s="20">
        <v>65</v>
      </c>
      <c r="D628" s="20">
        <v>0.42</v>
      </c>
      <c r="E628" s="20">
        <v>0.69</v>
      </c>
      <c r="F628" s="20">
        <v>2156.4699999999998</v>
      </c>
      <c r="Q628" s="25">
        <v>62.7</v>
      </c>
      <c r="R628" s="20">
        <v>65</v>
      </c>
      <c r="S628" s="20">
        <v>65.23</v>
      </c>
      <c r="T628" s="20">
        <v>-0.23</v>
      </c>
      <c r="U628" s="20">
        <v>0.04</v>
      </c>
      <c r="V628" s="20">
        <v>1687.17</v>
      </c>
    </row>
    <row r="629" spans="1:22" ht="16.8" x14ac:dyDescent="0.3">
      <c r="A629" s="20">
        <v>62.9</v>
      </c>
      <c r="B629" s="20">
        <v>65.3</v>
      </c>
      <c r="C629" s="20">
        <v>65</v>
      </c>
      <c r="D629" s="20">
        <v>-0.3</v>
      </c>
      <c r="E629" s="20">
        <v>-0.72</v>
      </c>
      <c r="F629" s="20">
        <v>1112.1300000000001</v>
      </c>
      <c r="Q629" s="25">
        <v>62.8</v>
      </c>
      <c r="R629" s="20">
        <v>65</v>
      </c>
      <c r="S629" s="20">
        <v>65.23</v>
      </c>
      <c r="T629" s="20">
        <v>-0.23</v>
      </c>
      <c r="U629" s="20">
        <v>0</v>
      </c>
      <c r="V629" s="20">
        <v>1689.19</v>
      </c>
    </row>
    <row r="630" spans="1:22" ht="16.8" x14ac:dyDescent="0.3">
      <c r="A630" s="20">
        <v>63</v>
      </c>
      <c r="B630" s="20">
        <v>64.61</v>
      </c>
      <c r="C630" s="20">
        <v>65</v>
      </c>
      <c r="D630" s="20">
        <v>0.39</v>
      </c>
      <c r="E630" s="20">
        <v>0.69</v>
      </c>
      <c r="F630" s="20">
        <v>2148.85</v>
      </c>
      <c r="Q630" s="20">
        <v>62.9</v>
      </c>
      <c r="R630" s="20">
        <v>65</v>
      </c>
      <c r="S630" s="20">
        <v>65.27</v>
      </c>
      <c r="T630" s="20">
        <v>-0.27</v>
      </c>
      <c r="U630" s="20">
        <v>-0.04</v>
      </c>
      <c r="V630" s="20">
        <v>1668.68</v>
      </c>
    </row>
    <row r="631" spans="1:22" ht="16.8" x14ac:dyDescent="0.3">
      <c r="A631" s="20">
        <v>63.1</v>
      </c>
      <c r="B631" s="20">
        <v>65.3</v>
      </c>
      <c r="C631" s="20">
        <v>65</v>
      </c>
      <c r="D631" s="20">
        <v>-0.3</v>
      </c>
      <c r="E631" s="20">
        <v>-0.68</v>
      </c>
      <c r="F631" s="20">
        <v>1136.78</v>
      </c>
      <c r="Q631" s="25">
        <v>63</v>
      </c>
      <c r="R631" s="20">
        <v>65</v>
      </c>
      <c r="S631" s="20">
        <v>65.25</v>
      </c>
      <c r="T631" s="20">
        <v>-0.25</v>
      </c>
      <c r="U631" s="20">
        <v>0.02</v>
      </c>
      <c r="V631" s="20">
        <v>1676.92</v>
      </c>
    </row>
    <row r="632" spans="1:22" ht="16.8" x14ac:dyDescent="0.3">
      <c r="A632" s="20">
        <v>63.2</v>
      </c>
      <c r="B632" s="20">
        <v>64.62</v>
      </c>
      <c r="C632" s="20">
        <v>65</v>
      </c>
      <c r="D632" s="20">
        <v>0.38</v>
      </c>
      <c r="E632" s="20">
        <v>0.68</v>
      </c>
      <c r="F632" s="20">
        <v>2143.11</v>
      </c>
      <c r="Q632" s="20">
        <v>63.1</v>
      </c>
      <c r="R632" s="20">
        <v>65</v>
      </c>
      <c r="S632" s="20">
        <v>65.260000000000005</v>
      </c>
      <c r="T632" s="20">
        <v>-0.26</v>
      </c>
      <c r="U632" s="20">
        <v>-0.01</v>
      </c>
      <c r="V632" s="20">
        <v>1672.81</v>
      </c>
    </row>
    <row r="633" spans="1:22" ht="16.8" x14ac:dyDescent="0.3">
      <c r="A633" s="20">
        <v>63.3</v>
      </c>
      <c r="B633" s="20">
        <v>65.3</v>
      </c>
      <c r="C633" s="20">
        <v>65</v>
      </c>
      <c r="D633" s="20">
        <v>-0.3</v>
      </c>
      <c r="E633" s="20">
        <v>-0.68</v>
      </c>
      <c r="F633" s="20">
        <v>1139.6300000000001</v>
      </c>
      <c r="Q633" s="25">
        <v>63.2</v>
      </c>
      <c r="R633" s="20">
        <v>65</v>
      </c>
      <c r="S633" s="20">
        <v>65.25</v>
      </c>
      <c r="T633" s="20">
        <v>-0.25</v>
      </c>
      <c r="U633" s="20">
        <v>0.01</v>
      </c>
      <c r="V633" s="20">
        <v>1678.99</v>
      </c>
    </row>
    <row r="634" spans="1:22" ht="16.8" x14ac:dyDescent="0.3">
      <c r="A634" s="20">
        <v>63.4</v>
      </c>
      <c r="B634" s="20">
        <v>64.61</v>
      </c>
      <c r="C634" s="20">
        <v>65</v>
      </c>
      <c r="D634" s="20">
        <v>0.39</v>
      </c>
      <c r="E634" s="20">
        <v>0.68</v>
      </c>
      <c r="F634" s="20">
        <v>2146.62</v>
      </c>
      <c r="Q634" s="20">
        <v>63.3</v>
      </c>
      <c r="R634" s="20">
        <v>65</v>
      </c>
      <c r="S634" s="20">
        <v>65.3</v>
      </c>
      <c r="T634" s="20">
        <v>-0.3</v>
      </c>
      <c r="U634" s="20">
        <v>-0.05</v>
      </c>
      <c r="V634" s="20">
        <v>1651.41</v>
      </c>
    </row>
    <row r="635" spans="1:22" ht="16.8" x14ac:dyDescent="0.3">
      <c r="A635" s="20">
        <v>63.5</v>
      </c>
      <c r="B635" s="20">
        <v>65.31</v>
      </c>
      <c r="C635" s="20">
        <v>65</v>
      </c>
      <c r="D635" s="20">
        <v>-0.31</v>
      </c>
      <c r="E635" s="20">
        <v>-0.69</v>
      </c>
      <c r="F635" s="20">
        <v>1130.5899999999999</v>
      </c>
      <c r="Q635" s="25">
        <v>63.4</v>
      </c>
      <c r="R635" s="20">
        <v>65</v>
      </c>
      <c r="S635" s="20">
        <v>65.290000000000006</v>
      </c>
      <c r="T635" s="20">
        <v>-0.28999999999999998</v>
      </c>
      <c r="U635" s="20">
        <v>0.01</v>
      </c>
      <c r="V635" s="20">
        <v>1655.84</v>
      </c>
    </row>
    <row r="636" spans="1:22" ht="16.8" x14ac:dyDescent="0.3">
      <c r="A636" s="20">
        <v>63.6</v>
      </c>
      <c r="B636" s="20">
        <v>64.63</v>
      </c>
      <c r="C636" s="20">
        <v>65</v>
      </c>
      <c r="D636" s="20">
        <v>0.37</v>
      </c>
      <c r="E636" s="20">
        <v>0.68</v>
      </c>
      <c r="F636" s="20">
        <v>2138.9</v>
      </c>
      <c r="Q636" s="25">
        <v>63.5</v>
      </c>
      <c r="R636" s="20">
        <v>65</v>
      </c>
      <c r="S636" s="20">
        <v>65.27</v>
      </c>
      <c r="T636" s="20">
        <v>-0.27</v>
      </c>
      <c r="U636" s="20">
        <v>0.02</v>
      </c>
      <c r="V636" s="20">
        <v>1666.57</v>
      </c>
    </row>
    <row r="637" spans="1:22" ht="16.8" x14ac:dyDescent="0.3">
      <c r="A637" s="20">
        <v>63.7</v>
      </c>
      <c r="B637" s="20">
        <v>65.319999999999993</v>
      </c>
      <c r="C637" s="20">
        <v>65</v>
      </c>
      <c r="D637" s="20">
        <v>-0.32</v>
      </c>
      <c r="E637" s="20">
        <v>-0.69</v>
      </c>
      <c r="F637" s="20">
        <v>1128.1099999999999</v>
      </c>
      <c r="Q637" s="20">
        <v>63.6</v>
      </c>
      <c r="R637" s="20">
        <v>65</v>
      </c>
      <c r="S637" s="20">
        <v>65.239999999999995</v>
      </c>
      <c r="T637" s="20">
        <v>-0.24</v>
      </c>
      <c r="U637" s="20">
        <v>0.03</v>
      </c>
      <c r="V637" s="20">
        <v>1681.06</v>
      </c>
    </row>
    <row r="638" spans="1:22" ht="16.8" x14ac:dyDescent="0.3">
      <c r="A638" s="20">
        <v>63.8</v>
      </c>
      <c r="B638" s="20">
        <v>64.63</v>
      </c>
      <c r="C638" s="20">
        <v>65</v>
      </c>
      <c r="D638" s="20">
        <v>0.37</v>
      </c>
      <c r="E638" s="20">
        <v>0.7</v>
      </c>
      <c r="F638" s="20">
        <v>2152.88</v>
      </c>
      <c r="Q638" s="25">
        <v>63.7</v>
      </c>
      <c r="R638" s="20">
        <v>65</v>
      </c>
      <c r="S638" s="20">
        <v>65.260000000000005</v>
      </c>
      <c r="T638" s="20">
        <v>-0.26</v>
      </c>
      <c r="U638" s="20">
        <v>-0.02</v>
      </c>
      <c r="V638" s="20">
        <v>1670.75</v>
      </c>
    </row>
    <row r="639" spans="1:22" ht="16.8" x14ac:dyDescent="0.3">
      <c r="A639" s="20">
        <v>63.9</v>
      </c>
      <c r="B639" s="20">
        <v>65.319999999999993</v>
      </c>
      <c r="C639" s="20">
        <v>65</v>
      </c>
      <c r="D639" s="20">
        <v>-0.32</v>
      </c>
      <c r="E639" s="20">
        <v>-0.7</v>
      </c>
      <c r="F639" s="20">
        <v>1125.5999999999999</v>
      </c>
      <c r="Q639" s="20">
        <v>63.8</v>
      </c>
      <c r="R639" s="20">
        <v>65</v>
      </c>
      <c r="S639" s="20">
        <v>65.239999999999995</v>
      </c>
      <c r="T639" s="20">
        <v>-0.24</v>
      </c>
      <c r="U639" s="20">
        <v>0.02</v>
      </c>
      <c r="V639" s="20">
        <v>1681.06</v>
      </c>
    </row>
    <row r="640" spans="1:22" ht="16.8" x14ac:dyDescent="0.3">
      <c r="A640" s="20">
        <v>64</v>
      </c>
      <c r="B640" s="20">
        <v>64.66</v>
      </c>
      <c r="C640" s="20">
        <v>65</v>
      </c>
      <c r="D640" s="20">
        <v>0.34</v>
      </c>
      <c r="E640" s="20">
        <v>0.66</v>
      </c>
      <c r="F640" s="20">
        <v>2123.31</v>
      </c>
      <c r="Q640" s="25">
        <v>63.9</v>
      </c>
      <c r="R640" s="20">
        <v>65</v>
      </c>
      <c r="S640" s="20">
        <v>65.23</v>
      </c>
      <c r="T640" s="20">
        <v>-0.23</v>
      </c>
      <c r="U640" s="20">
        <v>0.02</v>
      </c>
      <c r="V640" s="20">
        <v>1689.19</v>
      </c>
    </row>
    <row r="641" spans="1:22" ht="16.8" x14ac:dyDescent="0.3">
      <c r="A641" s="20">
        <v>64.099999999999994</v>
      </c>
      <c r="B641" s="20">
        <v>65.31</v>
      </c>
      <c r="C641" s="20">
        <v>65</v>
      </c>
      <c r="D641" s="20">
        <v>-0.31</v>
      </c>
      <c r="E641" s="20">
        <v>-0.65</v>
      </c>
      <c r="F641" s="20">
        <v>1159.33</v>
      </c>
      <c r="Q641" s="25">
        <v>64</v>
      </c>
      <c r="R641" s="20">
        <v>65</v>
      </c>
      <c r="S641" s="20">
        <v>65.25</v>
      </c>
      <c r="T641" s="20">
        <v>-0.25</v>
      </c>
      <c r="U641" s="20">
        <v>-0.02</v>
      </c>
      <c r="V641" s="20">
        <v>1676.92</v>
      </c>
    </row>
    <row r="642" spans="1:22" ht="16.8" x14ac:dyDescent="0.3">
      <c r="A642" s="20">
        <v>64.2</v>
      </c>
      <c r="B642" s="20">
        <v>64.680000000000007</v>
      </c>
      <c r="C642" s="20">
        <v>65</v>
      </c>
      <c r="D642" s="20">
        <v>0.32</v>
      </c>
      <c r="E642" s="20">
        <v>0.63</v>
      </c>
      <c r="F642" s="20">
        <v>2102.2399999999998</v>
      </c>
      <c r="Q642" s="20">
        <v>64.099999999999994</v>
      </c>
      <c r="R642" s="20">
        <v>65</v>
      </c>
      <c r="S642" s="20">
        <v>65.260000000000005</v>
      </c>
      <c r="T642" s="20">
        <v>-0.26</v>
      </c>
      <c r="U642" s="20">
        <v>-0.01</v>
      </c>
      <c r="V642" s="20">
        <v>1670.75</v>
      </c>
    </row>
    <row r="643" spans="1:22" ht="16.8" x14ac:dyDescent="0.3">
      <c r="A643" s="20">
        <v>64.3</v>
      </c>
      <c r="B643" s="20">
        <v>65.31</v>
      </c>
      <c r="C643" s="20">
        <v>65</v>
      </c>
      <c r="D643" s="20">
        <v>-0.31</v>
      </c>
      <c r="E643" s="20">
        <v>-0.64</v>
      </c>
      <c r="F643" s="20">
        <v>1166.6300000000001</v>
      </c>
      <c r="Q643" s="25">
        <v>64.2</v>
      </c>
      <c r="R643" s="20">
        <v>65</v>
      </c>
      <c r="S643" s="20">
        <v>65.260000000000005</v>
      </c>
      <c r="T643" s="20">
        <v>-0.26</v>
      </c>
      <c r="U643" s="20">
        <v>0</v>
      </c>
      <c r="V643" s="20">
        <v>1672.81</v>
      </c>
    </row>
    <row r="644" spans="1:22" ht="16.8" x14ac:dyDescent="0.3">
      <c r="A644" s="20">
        <v>64.400000000000006</v>
      </c>
      <c r="B644" s="20">
        <v>64.650000000000006</v>
      </c>
      <c r="C644" s="20">
        <v>65</v>
      </c>
      <c r="D644" s="20">
        <v>0.35</v>
      </c>
      <c r="E644" s="20">
        <v>0.66</v>
      </c>
      <c r="F644" s="20">
        <v>2128</v>
      </c>
      <c r="Q644" s="20">
        <v>64.3</v>
      </c>
      <c r="R644" s="20">
        <v>65</v>
      </c>
      <c r="S644" s="20">
        <v>65.2</v>
      </c>
      <c r="T644" s="20">
        <v>-0.2</v>
      </c>
      <c r="U644" s="20">
        <v>0.06</v>
      </c>
      <c r="V644" s="20">
        <v>1701.04</v>
      </c>
    </row>
    <row r="645" spans="1:22" ht="16.8" x14ac:dyDescent="0.3">
      <c r="A645" s="20">
        <v>64.5</v>
      </c>
      <c r="B645" s="20">
        <v>65.34</v>
      </c>
      <c r="C645" s="20">
        <v>65</v>
      </c>
      <c r="D645" s="20">
        <v>-0.34</v>
      </c>
      <c r="E645" s="20">
        <v>-0.69</v>
      </c>
      <c r="F645" s="20">
        <v>1125.1099999999999</v>
      </c>
      <c r="Q645" s="25">
        <v>64.400000000000006</v>
      </c>
      <c r="R645" s="20">
        <v>65</v>
      </c>
      <c r="S645" s="20">
        <v>65.27</v>
      </c>
      <c r="T645" s="20">
        <v>-0.27</v>
      </c>
      <c r="U645" s="20">
        <v>-7.0000000000000007E-2</v>
      </c>
      <c r="V645" s="20">
        <v>1666.57</v>
      </c>
    </row>
    <row r="646" spans="1:22" ht="16.8" x14ac:dyDescent="0.3">
      <c r="A646" s="20">
        <v>64.599999999999994</v>
      </c>
      <c r="B646" s="20">
        <v>64.650000000000006</v>
      </c>
      <c r="C646" s="20">
        <v>65</v>
      </c>
      <c r="D646" s="20">
        <v>0.35</v>
      </c>
      <c r="E646" s="20">
        <v>0.69</v>
      </c>
      <c r="F646" s="20">
        <v>2146.52</v>
      </c>
      <c r="Q646" s="20">
        <v>64.5</v>
      </c>
      <c r="R646" s="20">
        <v>65</v>
      </c>
      <c r="S646" s="20">
        <v>65.2</v>
      </c>
      <c r="T646" s="20">
        <v>-0.2</v>
      </c>
      <c r="U646" s="20">
        <v>7.0000000000000007E-2</v>
      </c>
      <c r="V646" s="20">
        <v>1703.02</v>
      </c>
    </row>
    <row r="647" spans="1:22" ht="16.8" x14ac:dyDescent="0.3">
      <c r="A647" s="20">
        <v>64.7</v>
      </c>
      <c r="B647" s="20">
        <v>65.34</v>
      </c>
      <c r="C647" s="20">
        <v>65</v>
      </c>
      <c r="D647" s="20">
        <v>-0.34</v>
      </c>
      <c r="E647" s="20">
        <v>-0.69</v>
      </c>
      <c r="F647" s="20">
        <v>1128.43</v>
      </c>
      <c r="Q647" s="25">
        <v>64.599999999999994</v>
      </c>
      <c r="R647" s="20">
        <v>65</v>
      </c>
      <c r="S647" s="20">
        <v>65.23</v>
      </c>
      <c r="T647" s="20">
        <v>-0.23</v>
      </c>
      <c r="U647" s="20">
        <v>-0.03</v>
      </c>
      <c r="V647" s="20">
        <v>1687.17</v>
      </c>
    </row>
    <row r="648" spans="1:22" ht="16.8" x14ac:dyDescent="0.3">
      <c r="A648" s="20">
        <v>64.8</v>
      </c>
      <c r="B648" s="20">
        <v>64.650000000000006</v>
      </c>
      <c r="C648" s="20">
        <v>65</v>
      </c>
      <c r="D648" s="20">
        <v>0.35</v>
      </c>
      <c r="E648" s="20">
        <v>0.69</v>
      </c>
      <c r="F648" s="20">
        <v>2147.1999999999998</v>
      </c>
      <c r="Q648" s="25">
        <v>64.7</v>
      </c>
      <c r="R648" s="20">
        <v>65</v>
      </c>
      <c r="S648" s="20">
        <v>65.209999999999994</v>
      </c>
      <c r="T648" s="20">
        <v>-0.21</v>
      </c>
      <c r="U648" s="20">
        <v>0.02</v>
      </c>
      <c r="V648" s="20">
        <v>1695.15</v>
      </c>
    </row>
    <row r="649" spans="1:22" ht="16.8" x14ac:dyDescent="0.3">
      <c r="A649" s="20">
        <v>64.900000000000006</v>
      </c>
      <c r="B649" s="20">
        <v>65.31</v>
      </c>
      <c r="C649" s="20">
        <v>65</v>
      </c>
      <c r="D649" s="20">
        <v>-0.31</v>
      </c>
      <c r="E649" s="20">
        <v>-0.67</v>
      </c>
      <c r="F649" s="20">
        <v>1145.6199999999999</v>
      </c>
      <c r="Q649" s="20">
        <v>64.8</v>
      </c>
      <c r="R649" s="20">
        <v>65</v>
      </c>
      <c r="S649" s="20">
        <v>65.25</v>
      </c>
      <c r="T649" s="20">
        <v>-0.25</v>
      </c>
      <c r="U649" s="20">
        <v>-0.04</v>
      </c>
      <c r="V649" s="20">
        <v>1676.92</v>
      </c>
    </row>
    <row r="650" spans="1:22" ht="16.8" x14ac:dyDescent="0.3">
      <c r="A650" s="20">
        <v>65</v>
      </c>
      <c r="B650" s="20">
        <v>64.67</v>
      </c>
      <c r="C650" s="20">
        <v>65</v>
      </c>
      <c r="D650" s="20">
        <v>0.33</v>
      </c>
      <c r="E650" s="20">
        <v>0.64</v>
      </c>
      <c r="F650" s="20">
        <v>2108.34</v>
      </c>
      <c r="Q650" s="25">
        <v>64.900000000000006</v>
      </c>
      <c r="R650" s="20">
        <v>65</v>
      </c>
      <c r="S650" s="20">
        <v>65.239999999999995</v>
      </c>
      <c r="T650" s="20">
        <v>-0.24</v>
      </c>
      <c r="U650" s="20">
        <v>0.01</v>
      </c>
      <c r="V650" s="20">
        <v>1683.11</v>
      </c>
    </row>
    <row r="651" spans="1:22" ht="16.8" x14ac:dyDescent="0.3">
      <c r="A651" s="20">
        <v>65.099999999999994</v>
      </c>
      <c r="B651" s="20">
        <v>65.34</v>
      </c>
      <c r="C651" s="20">
        <v>65</v>
      </c>
      <c r="D651" s="20">
        <v>-0.34</v>
      </c>
      <c r="E651" s="20">
        <v>-0.67</v>
      </c>
      <c r="F651" s="20">
        <v>1141.05</v>
      </c>
      <c r="Q651" s="25">
        <v>65</v>
      </c>
      <c r="R651" s="20">
        <v>65</v>
      </c>
      <c r="S651" s="20">
        <v>65.25</v>
      </c>
      <c r="T651" s="20">
        <v>-0.25</v>
      </c>
      <c r="U651" s="20">
        <v>-0.02</v>
      </c>
      <c r="V651" s="20">
        <v>1674.86</v>
      </c>
    </row>
    <row r="652" spans="1:22" ht="16.8" x14ac:dyDescent="0.3">
      <c r="A652" s="20">
        <v>65.2</v>
      </c>
      <c r="B652" s="20">
        <v>64.7</v>
      </c>
      <c r="C652" s="20">
        <v>65</v>
      </c>
      <c r="D652" s="20">
        <v>0.3</v>
      </c>
      <c r="E652" s="20">
        <v>0.64</v>
      </c>
      <c r="F652" s="20">
        <v>2107.0100000000002</v>
      </c>
      <c r="Q652" s="20">
        <v>65.099999999999994</v>
      </c>
      <c r="R652" s="20">
        <v>65</v>
      </c>
      <c r="S652" s="20">
        <v>65.209999999999994</v>
      </c>
      <c r="T652" s="20">
        <v>-0.21</v>
      </c>
      <c r="U652" s="20">
        <v>0.05</v>
      </c>
      <c r="V652" s="20">
        <v>1699.07</v>
      </c>
    </row>
    <row r="653" spans="1:22" ht="16.8" x14ac:dyDescent="0.3">
      <c r="A653" s="20">
        <v>65.3</v>
      </c>
      <c r="B653" s="20">
        <v>65.37</v>
      </c>
      <c r="C653" s="20">
        <v>65</v>
      </c>
      <c r="D653" s="20">
        <v>-0.37</v>
      </c>
      <c r="E653" s="20">
        <v>-0.67</v>
      </c>
      <c r="F653" s="20">
        <v>1133.7</v>
      </c>
      <c r="Q653" s="25">
        <v>65.2</v>
      </c>
      <c r="R653" s="20">
        <v>65</v>
      </c>
      <c r="S653" s="20">
        <v>65.260000000000005</v>
      </c>
      <c r="T653" s="20">
        <v>-0.26</v>
      </c>
      <c r="U653" s="20">
        <v>-0.05</v>
      </c>
      <c r="V653" s="20">
        <v>1672.81</v>
      </c>
    </row>
    <row r="654" spans="1:22" ht="16.8" x14ac:dyDescent="0.3">
      <c r="A654" s="20">
        <v>65.400000000000006</v>
      </c>
      <c r="B654" s="20">
        <v>64.69</v>
      </c>
      <c r="C654" s="20">
        <v>65</v>
      </c>
      <c r="D654" s="20">
        <v>0.31</v>
      </c>
      <c r="E654" s="20">
        <v>0.68</v>
      </c>
      <c r="F654" s="20">
        <v>2128.65</v>
      </c>
      <c r="Q654" s="20">
        <v>65.3</v>
      </c>
      <c r="R654" s="20">
        <v>65</v>
      </c>
      <c r="S654" s="20">
        <v>65.25</v>
      </c>
      <c r="T654" s="20">
        <v>-0.25</v>
      </c>
      <c r="U654" s="20">
        <v>0</v>
      </c>
      <c r="V654" s="20">
        <v>1674.86</v>
      </c>
    </row>
    <row r="655" spans="1:22" ht="16.8" x14ac:dyDescent="0.3">
      <c r="A655" s="20">
        <v>65.5</v>
      </c>
      <c r="B655" s="20">
        <v>65.39</v>
      </c>
      <c r="C655" s="20">
        <v>65</v>
      </c>
      <c r="D655" s="20">
        <v>-0.39</v>
      </c>
      <c r="E655" s="20">
        <v>-0.69</v>
      </c>
      <c r="F655" s="20">
        <v>1117.71</v>
      </c>
      <c r="Q655" s="25">
        <v>65.400000000000006</v>
      </c>
      <c r="R655" s="20">
        <v>65</v>
      </c>
      <c r="S655" s="20">
        <v>65.25</v>
      </c>
      <c r="T655" s="20">
        <v>-0.25</v>
      </c>
      <c r="U655" s="20">
        <v>0</v>
      </c>
      <c r="V655" s="20">
        <v>1676.92</v>
      </c>
    </row>
    <row r="656" spans="1:22" ht="16.8" x14ac:dyDescent="0.3">
      <c r="A656" s="20">
        <v>65.599999999999994</v>
      </c>
      <c r="B656" s="20">
        <v>64.680000000000007</v>
      </c>
      <c r="C656" s="20">
        <v>65</v>
      </c>
      <c r="D656" s="20">
        <v>0.32</v>
      </c>
      <c r="E656" s="20">
        <v>0.71</v>
      </c>
      <c r="F656" s="20">
        <v>2152.2199999999998</v>
      </c>
      <c r="Q656" s="25">
        <v>65.5</v>
      </c>
      <c r="R656" s="20">
        <v>65</v>
      </c>
      <c r="S656" s="20">
        <v>65.27</v>
      </c>
      <c r="T656" s="20">
        <v>-0.27</v>
      </c>
      <c r="U656" s="20">
        <v>-0.02</v>
      </c>
      <c r="V656" s="20">
        <v>1666.57</v>
      </c>
    </row>
    <row r="657" spans="1:22" ht="16.8" x14ac:dyDescent="0.3">
      <c r="A657" s="20">
        <v>65.7</v>
      </c>
      <c r="B657" s="20">
        <v>65.36</v>
      </c>
      <c r="C657" s="20">
        <v>65</v>
      </c>
      <c r="D657" s="20">
        <v>-0.36</v>
      </c>
      <c r="E657" s="20">
        <v>-0.68</v>
      </c>
      <c r="F657" s="20">
        <v>1126.78</v>
      </c>
      <c r="Q657" s="20">
        <v>65.599999999999994</v>
      </c>
      <c r="R657" s="20">
        <v>65</v>
      </c>
      <c r="S657" s="20">
        <v>65.22</v>
      </c>
      <c r="T657" s="20">
        <v>-0.22</v>
      </c>
      <c r="U657" s="20">
        <v>0.05</v>
      </c>
      <c r="V657" s="20">
        <v>1691.18</v>
      </c>
    </row>
    <row r="658" spans="1:22" ht="16.8" x14ac:dyDescent="0.3">
      <c r="A658" s="20">
        <v>65.8</v>
      </c>
      <c r="B658" s="20">
        <v>64.680000000000007</v>
      </c>
      <c r="C658" s="20">
        <v>65</v>
      </c>
      <c r="D658" s="20">
        <v>0.32</v>
      </c>
      <c r="E658" s="20">
        <v>0.68</v>
      </c>
      <c r="F658" s="20">
        <v>2136.27</v>
      </c>
      <c r="Q658" s="25">
        <v>65.7</v>
      </c>
      <c r="R658" s="20">
        <v>65</v>
      </c>
      <c r="S658" s="20">
        <v>65.260000000000005</v>
      </c>
      <c r="T658" s="20">
        <v>-0.26</v>
      </c>
      <c r="U658" s="20">
        <v>-0.04</v>
      </c>
      <c r="V658" s="20">
        <v>1670.75</v>
      </c>
    </row>
    <row r="659" spans="1:22" ht="16.8" x14ac:dyDescent="0.3">
      <c r="A659" s="20">
        <v>65.900000000000006</v>
      </c>
      <c r="B659" s="20">
        <v>65.39</v>
      </c>
      <c r="C659" s="20">
        <v>65</v>
      </c>
      <c r="D659" s="20">
        <v>-0.39</v>
      </c>
      <c r="E659" s="20">
        <v>-0.71</v>
      </c>
      <c r="F659" s="20">
        <v>1106.8800000000001</v>
      </c>
      <c r="Q659" s="20">
        <v>65.8</v>
      </c>
      <c r="R659" s="20">
        <v>65</v>
      </c>
      <c r="S659" s="20">
        <v>65.260000000000005</v>
      </c>
      <c r="T659" s="20">
        <v>-0.26</v>
      </c>
      <c r="U659" s="20">
        <v>0</v>
      </c>
      <c r="V659" s="20">
        <v>1672.81</v>
      </c>
    </row>
    <row r="660" spans="1:22" ht="16.8" x14ac:dyDescent="0.3">
      <c r="A660" s="20">
        <v>66</v>
      </c>
      <c r="B660" s="20">
        <v>64.680000000000007</v>
      </c>
      <c r="C660" s="20">
        <v>65</v>
      </c>
      <c r="D660" s="20">
        <v>0.32</v>
      </c>
      <c r="E660" s="20">
        <v>0.71</v>
      </c>
      <c r="F660" s="20">
        <v>2148.67</v>
      </c>
      <c r="Q660" s="25">
        <v>65.900000000000006</v>
      </c>
      <c r="R660" s="20">
        <v>65</v>
      </c>
      <c r="S660" s="20">
        <v>65.27</v>
      </c>
      <c r="T660" s="20">
        <v>-0.27</v>
      </c>
      <c r="U660" s="20">
        <v>-0.02</v>
      </c>
      <c r="V660" s="20">
        <v>1664.47</v>
      </c>
    </row>
    <row r="661" spans="1:22" ht="16.8" x14ac:dyDescent="0.3">
      <c r="A661" s="20">
        <v>66.099999999999994</v>
      </c>
      <c r="B661" s="20">
        <v>65.430000000000007</v>
      </c>
      <c r="C661" s="20">
        <v>65</v>
      </c>
      <c r="D661" s="20">
        <v>-0.43</v>
      </c>
      <c r="E661" s="20">
        <v>-0.75</v>
      </c>
      <c r="F661" s="20">
        <v>1076.3599999999999</v>
      </c>
      <c r="Q661" s="20">
        <v>66</v>
      </c>
      <c r="R661" s="20">
        <v>65</v>
      </c>
      <c r="S661" s="20">
        <v>65.239999999999995</v>
      </c>
      <c r="T661" s="20">
        <v>-0.24</v>
      </c>
      <c r="U661" s="20">
        <v>0.03</v>
      </c>
      <c r="V661" s="20">
        <v>1681.06</v>
      </c>
    </row>
    <row r="662" spans="1:22" ht="16.8" x14ac:dyDescent="0.3">
      <c r="A662" s="20">
        <v>66.2</v>
      </c>
      <c r="B662" s="20">
        <v>64.709999999999994</v>
      </c>
      <c r="C662" s="20">
        <v>80</v>
      </c>
      <c r="D662" s="20">
        <v>15.29</v>
      </c>
      <c r="E662" s="20">
        <v>15.72</v>
      </c>
      <c r="F662" s="20">
        <v>4095</v>
      </c>
      <c r="Q662" s="25">
        <v>66.099999999999994</v>
      </c>
      <c r="R662" s="20">
        <v>65</v>
      </c>
      <c r="S662" s="20">
        <v>65.25</v>
      </c>
      <c r="T662" s="20">
        <v>-0.25</v>
      </c>
      <c r="U662" s="20">
        <v>-0.01</v>
      </c>
      <c r="V662" s="20">
        <v>1674.86</v>
      </c>
    </row>
    <row r="663" spans="1:22" ht="16.8" x14ac:dyDescent="0.3">
      <c r="A663" s="20">
        <v>66.3</v>
      </c>
      <c r="B663" s="20">
        <v>65.48</v>
      </c>
      <c r="C663" s="20">
        <v>80</v>
      </c>
      <c r="D663" s="20">
        <v>14.52</v>
      </c>
      <c r="E663" s="20">
        <v>-0.77</v>
      </c>
      <c r="F663" s="20">
        <v>4003.18</v>
      </c>
      <c r="Q663" s="25">
        <v>66.2</v>
      </c>
      <c r="R663" s="20">
        <v>80</v>
      </c>
      <c r="S663" s="20">
        <v>65.23</v>
      </c>
      <c r="T663" s="20">
        <v>14.77</v>
      </c>
      <c r="U663" s="20">
        <v>6</v>
      </c>
      <c r="V663" s="20">
        <v>2048</v>
      </c>
    </row>
    <row r="664" spans="1:22" ht="16.8" x14ac:dyDescent="0.3">
      <c r="A664" s="20">
        <v>66.400000000000006</v>
      </c>
      <c r="B664" s="20">
        <v>65.47</v>
      </c>
      <c r="C664" s="20">
        <v>80</v>
      </c>
      <c r="D664" s="20">
        <v>14.53</v>
      </c>
      <c r="E664" s="20">
        <v>0</v>
      </c>
      <c r="F664" s="20">
        <v>4095</v>
      </c>
      <c r="Q664" s="20">
        <v>66.3</v>
      </c>
      <c r="R664" s="20">
        <v>80</v>
      </c>
      <c r="S664" s="20">
        <v>65.290000000000006</v>
      </c>
      <c r="T664" s="20">
        <v>14.71</v>
      </c>
      <c r="U664" s="20">
        <v>-0.06</v>
      </c>
      <c r="V664" s="20">
        <v>3179.35</v>
      </c>
    </row>
    <row r="665" spans="1:22" ht="16.8" x14ac:dyDescent="0.3">
      <c r="A665" s="20">
        <v>66.5</v>
      </c>
      <c r="B665" s="20">
        <v>65.489999999999995</v>
      </c>
      <c r="C665" s="20">
        <v>80</v>
      </c>
      <c r="D665" s="20">
        <v>14.51</v>
      </c>
      <c r="E665" s="20">
        <v>-0.02</v>
      </c>
      <c r="F665" s="20">
        <v>4095</v>
      </c>
      <c r="Q665" s="25">
        <v>66.400000000000006</v>
      </c>
      <c r="R665" s="20">
        <v>80</v>
      </c>
      <c r="S665" s="20">
        <v>65.319999999999993</v>
      </c>
      <c r="T665" s="20">
        <v>14.68</v>
      </c>
      <c r="U665" s="20">
        <v>-0.03</v>
      </c>
      <c r="V665" s="20">
        <v>3176.82</v>
      </c>
    </row>
    <row r="666" spans="1:22" ht="16.8" x14ac:dyDescent="0.3">
      <c r="A666" s="20">
        <v>66.599999999999994</v>
      </c>
      <c r="B666" s="20">
        <v>65.53</v>
      </c>
      <c r="C666" s="20">
        <v>80</v>
      </c>
      <c r="D666" s="20">
        <v>14.47</v>
      </c>
      <c r="E666" s="20">
        <v>-0.04</v>
      </c>
      <c r="F666" s="20">
        <v>4095</v>
      </c>
      <c r="Q666" s="20">
        <v>66.5</v>
      </c>
      <c r="R666" s="20">
        <v>80</v>
      </c>
      <c r="S666" s="20">
        <v>65.33</v>
      </c>
      <c r="T666" s="20">
        <v>14.67</v>
      </c>
      <c r="U666" s="20">
        <v>-0.01</v>
      </c>
      <c r="V666" s="20">
        <v>3176.1</v>
      </c>
    </row>
    <row r="667" spans="1:22" ht="16.8" x14ac:dyDescent="0.3">
      <c r="A667" s="20">
        <v>66.7</v>
      </c>
      <c r="B667" s="20">
        <v>65.67</v>
      </c>
      <c r="C667" s="20">
        <v>80</v>
      </c>
      <c r="D667" s="20">
        <v>14.33</v>
      </c>
      <c r="E667" s="20">
        <v>-0.13</v>
      </c>
      <c r="F667" s="20">
        <v>4095</v>
      </c>
      <c r="Q667" s="25">
        <v>66.599999999999994</v>
      </c>
      <c r="R667" s="20">
        <v>80</v>
      </c>
      <c r="S667" s="20">
        <v>65.33</v>
      </c>
      <c r="T667" s="20">
        <v>14.67</v>
      </c>
      <c r="U667" s="20">
        <v>0</v>
      </c>
      <c r="V667" s="20">
        <v>3176.46</v>
      </c>
    </row>
    <row r="668" spans="1:22" ht="16.8" x14ac:dyDescent="0.3">
      <c r="A668" s="20">
        <v>66.8</v>
      </c>
      <c r="B668" s="20">
        <v>65.83</v>
      </c>
      <c r="C668" s="20">
        <v>80</v>
      </c>
      <c r="D668" s="20">
        <v>14.17</v>
      </c>
      <c r="E668" s="20">
        <v>-0.16</v>
      </c>
      <c r="F668" s="20">
        <v>4095</v>
      </c>
      <c r="Q668" s="25">
        <v>66.7</v>
      </c>
      <c r="R668" s="20">
        <v>80</v>
      </c>
      <c r="S668" s="20">
        <v>65.400000000000006</v>
      </c>
      <c r="T668" s="20">
        <v>14.6</v>
      </c>
      <c r="U668" s="20">
        <v>-0.08</v>
      </c>
      <c r="V668" s="20">
        <v>3169.57</v>
      </c>
    </row>
    <row r="669" spans="1:22" ht="16.8" x14ac:dyDescent="0.3">
      <c r="A669" s="20">
        <v>66.900000000000006</v>
      </c>
      <c r="B669" s="20">
        <v>66.03</v>
      </c>
      <c r="C669" s="20">
        <v>80</v>
      </c>
      <c r="D669" s="20">
        <v>13.97</v>
      </c>
      <c r="E669" s="20">
        <v>-0.2</v>
      </c>
      <c r="F669" s="20">
        <v>4095</v>
      </c>
      <c r="Q669" s="20">
        <v>66.8</v>
      </c>
      <c r="R669" s="20">
        <v>80</v>
      </c>
      <c r="S669" s="20">
        <v>65.41</v>
      </c>
      <c r="T669" s="20">
        <v>14.59</v>
      </c>
      <c r="U669" s="20">
        <v>-0.01</v>
      </c>
      <c r="V669" s="20">
        <v>3168.84</v>
      </c>
    </row>
    <row r="670" spans="1:22" ht="16.8" x14ac:dyDescent="0.3">
      <c r="A670" s="26">
        <v>67</v>
      </c>
      <c r="B670" s="26">
        <v>66.290000000000006</v>
      </c>
      <c r="C670" s="20">
        <v>80</v>
      </c>
      <c r="D670" s="20">
        <v>13.71</v>
      </c>
      <c r="E670" s="20">
        <v>-0.26</v>
      </c>
      <c r="F670" s="20">
        <v>4095</v>
      </c>
      <c r="Q670" s="25">
        <v>66.900000000000006</v>
      </c>
      <c r="R670" s="20">
        <v>80</v>
      </c>
      <c r="S670" s="20">
        <v>65.540000000000006</v>
      </c>
      <c r="T670" s="20">
        <v>14.46</v>
      </c>
      <c r="U670" s="20">
        <v>-0.12</v>
      </c>
      <c r="V670" s="20">
        <v>3157.48</v>
      </c>
    </row>
    <row r="671" spans="1:22" ht="16.8" x14ac:dyDescent="0.3">
      <c r="A671" s="26">
        <v>67.099999999999994</v>
      </c>
      <c r="B671" s="26">
        <v>66.55</v>
      </c>
      <c r="C671" s="20">
        <v>80</v>
      </c>
      <c r="D671" s="20">
        <v>13.45</v>
      </c>
      <c r="E671" s="20">
        <v>-0.26</v>
      </c>
      <c r="F671" s="20">
        <v>4095</v>
      </c>
      <c r="Q671" s="20">
        <v>67</v>
      </c>
      <c r="R671" s="20">
        <v>80</v>
      </c>
      <c r="S671" s="20">
        <v>65.66</v>
      </c>
      <c r="T671" s="20">
        <v>14.34</v>
      </c>
      <c r="U671" s="20">
        <v>-0.12</v>
      </c>
      <c r="V671" s="20">
        <v>3145.98</v>
      </c>
    </row>
    <row r="672" spans="1:22" ht="16.8" x14ac:dyDescent="0.3">
      <c r="A672" s="26">
        <v>67.2</v>
      </c>
      <c r="B672" s="26">
        <v>66.83</v>
      </c>
      <c r="C672" s="20">
        <v>80</v>
      </c>
      <c r="D672" s="20">
        <v>13.17</v>
      </c>
      <c r="E672" s="20">
        <v>-0.28999999999999998</v>
      </c>
      <c r="F672" s="20">
        <v>4095</v>
      </c>
      <c r="Q672" s="25">
        <v>67.099999999999994</v>
      </c>
      <c r="R672" s="20">
        <v>80</v>
      </c>
      <c r="S672" s="20">
        <v>65.8</v>
      </c>
      <c r="T672" s="20">
        <v>14.2</v>
      </c>
      <c r="U672" s="20">
        <v>-0.14000000000000001</v>
      </c>
      <c r="V672" s="20">
        <v>3133.26</v>
      </c>
    </row>
    <row r="673" spans="1:22" ht="16.8" x14ac:dyDescent="0.3">
      <c r="A673" s="26">
        <v>67.3</v>
      </c>
      <c r="B673" s="26">
        <v>67.2</v>
      </c>
      <c r="C673" s="20">
        <v>80</v>
      </c>
      <c r="D673" s="20">
        <v>12.8</v>
      </c>
      <c r="E673" s="20">
        <v>-0.37</v>
      </c>
      <c r="F673" s="20">
        <v>4095</v>
      </c>
      <c r="Q673" s="20">
        <v>67.2</v>
      </c>
      <c r="R673" s="20">
        <v>80</v>
      </c>
      <c r="S673" s="20">
        <v>65.94</v>
      </c>
      <c r="T673" s="20">
        <v>14.06</v>
      </c>
      <c r="U673" s="20">
        <v>-0.15</v>
      </c>
      <c r="V673" s="20">
        <v>3119.56</v>
      </c>
    </row>
    <row r="674" spans="1:22" ht="16.8" x14ac:dyDescent="0.3">
      <c r="A674" s="26">
        <v>67.400000000000006</v>
      </c>
      <c r="B674" s="26">
        <v>67.58</v>
      </c>
      <c r="C674" s="20">
        <v>80</v>
      </c>
      <c r="D674" s="20">
        <v>12.42</v>
      </c>
      <c r="E674" s="20">
        <v>-0.37</v>
      </c>
      <c r="F674" s="20">
        <v>4027.91</v>
      </c>
      <c r="Q674" s="25">
        <v>67.3</v>
      </c>
      <c r="R674" s="20">
        <v>80</v>
      </c>
      <c r="S674" s="20">
        <v>66.12</v>
      </c>
      <c r="T674" s="20">
        <v>13.88</v>
      </c>
      <c r="U674" s="20">
        <v>-0.17</v>
      </c>
      <c r="V674" s="20">
        <v>3102.92</v>
      </c>
    </row>
    <row r="675" spans="1:22" ht="16.8" x14ac:dyDescent="0.3">
      <c r="A675" s="26">
        <v>67.5</v>
      </c>
      <c r="B675" s="26">
        <v>67.92</v>
      </c>
      <c r="C675" s="20">
        <v>80</v>
      </c>
      <c r="D675" s="20">
        <v>12.08</v>
      </c>
      <c r="E675" s="20">
        <v>-0.34</v>
      </c>
      <c r="F675" s="20">
        <v>4034.66</v>
      </c>
      <c r="Q675" s="25">
        <v>67.400000000000006</v>
      </c>
      <c r="R675" s="20">
        <v>80</v>
      </c>
      <c r="S675" s="20">
        <v>66.31</v>
      </c>
      <c r="T675" s="20">
        <v>13.69</v>
      </c>
      <c r="U675" s="20">
        <v>-0.19</v>
      </c>
      <c r="V675" s="20">
        <v>3084</v>
      </c>
    </row>
    <row r="676" spans="1:22" ht="16.8" x14ac:dyDescent="0.3">
      <c r="A676" s="26">
        <v>67.599999999999994</v>
      </c>
      <c r="B676" s="26">
        <v>68.319999999999993</v>
      </c>
      <c r="C676" s="20">
        <v>80</v>
      </c>
      <c r="D676" s="20">
        <v>11.68</v>
      </c>
      <c r="E676" s="20">
        <v>-0.39</v>
      </c>
      <c r="F676" s="20">
        <v>3954.37</v>
      </c>
      <c r="Q676" s="20">
        <v>67.5</v>
      </c>
      <c r="R676" s="20">
        <v>80</v>
      </c>
      <c r="S676" s="20">
        <v>66.5</v>
      </c>
      <c r="T676" s="20">
        <v>13.5</v>
      </c>
      <c r="U676" s="20">
        <v>-0.19</v>
      </c>
      <c r="V676" s="20">
        <v>3065.02</v>
      </c>
    </row>
    <row r="677" spans="1:22" ht="16.8" x14ac:dyDescent="0.3">
      <c r="A677" s="26">
        <v>67.7</v>
      </c>
      <c r="B677" s="26">
        <v>68.7</v>
      </c>
      <c r="C677" s="20">
        <v>80</v>
      </c>
      <c r="D677" s="20">
        <v>11.3</v>
      </c>
      <c r="E677" s="20">
        <v>-0.39</v>
      </c>
      <c r="F677" s="20">
        <v>3929.03</v>
      </c>
      <c r="Q677" s="25">
        <v>67.599999999999994</v>
      </c>
      <c r="R677" s="20">
        <v>80</v>
      </c>
      <c r="S677" s="20">
        <v>66.72</v>
      </c>
      <c r="T677" s="20">
        <v>13.28</v>
      </c>
      <c r="U677" s="20">
        <v>-0.22</v>
      </c>
      <c r="V677" s="20">
        <v>3048.92</v>
      </c>
    </row>
    <row r="678" spans="1:22" ht="16.8" x14ac:dyDescent="0.3">
      <c r="A678" s="26">
        <v>67.8</v>
      </c>
      <c r="B678" s="26">
        <v>69.12</v>
      </c>
      <c r="C678" s="20">
        <v>80</v>
      </c>
      <c r="D678" s="20">
        <v>10.88</v>
      </c>
      <c r="E678" s="20">
        <v>-0.42</v>
      </c>
      <c r="F678" s="20">
        <v>3864.61</v>
      </c>
      <c r="Q678" s="25">
        <v>67.7</v>
      </c>
      <c r="R678" s="20">
        <v>80</v>
      </c>
      <c r="S678" s="20">
        <v>66.94</v>
      </c>
      <c r="T678" s="20">
        <v>13.06</v>
      </c>
      <c r="U678" s="20">
        <v>-0.22</v>
      </c>
      <c r="V678" s="20">
        <v>3034.12</v>
      </c>
    </row>
    <row r="679" spans="1:22" ht="16.8" x14ac:dyDescent="0.3">
      <c r="A679" s="26">
        <v>67.900000000000006</v>
      </c>
      <c r="B679" s="26">
        <v>69.510000000000005</v>
      </c>
      <c r="C679" s="20">
        <v>80</v>
      </c>
      <c r="D679" s="20">
        <v>10.49</v>
      </c>
      <c r="E679" s="20">
        <v>-0.39</v>
      </c>
      <c r="F679" s="20">
        <v>3850.7</v>
      </c>
      <c r="Q679" s="20">
        <v>67.8</v>
      </c>
      <c r="R679" s="20">
        <v>80</v>
      </c>
      <c r="S679" s="20">
        <v>67.16</v>
      </c>
      <c r="T679" s="20">
        <v>12.84</v>
      </c>
      <c r="U679" s="20">
        <v>-0.23</v>
      </c>
      <c r="V679" s="20">
        <v>3017.54</v>
      </c>
    </row>
    <row r="680" spans="1:22" ht="16.8" x14ac:dyDescent="0.3">
      <c r="A680" s="26">
        <v>68</v>
      </c>
      <c r="B680" s="26">
        <v>69.84</v>
      </c>
      <c r="C680" s="20">
        <v>80</v>
      </c>
      <c r="D680" s="20">
        <v>10.16</v>
      </c>
      <c r="E680" s="20">
        <v>-0.33</v>
      </c>
      <c r="F680" s="20">
        <v>3874.79</v>
      </c>
      <c r="Q680" s="25">
        <v>67.900000000000006</v>
      </c>
      <c r="R680" s="20">
        <v>80</v>
      </c>
      <c r="S680" s="20">
        <v>67.37</v>
      </c>
      <c r="T680" s="20">
        <v>12.63</v>
      </c>
      <c r="U680" s="20">
        <v>-0.2</v>
      </c>
      <c r="V680" s="20">
        <v>2986.91</v>
      </c>
    </row>
    <row r="681" spans="1:22" ht="16.8" x14ac:dyDescent="0.3">
      <c r="A681" s="26">
        <v>68.099999999999994</v>
      </c>
      <c r="B681" s="26">
        <v>70.31</v>
      </c>
      <c r="C681" s="20">
        <v>80</v>
      </c>
      <c r="D681" s="20">
        <v>9.69</v>
      </c>
      <c r="E681" s="20">
        <v>-0.46</v>
      </c>
      <c r="F681" s="20">
        <v>3706.97</v>
      </c>
      <c r="Q681" s="20">
        <v>68</v>
      </c>
      <c r="R681" s="20">
        <v>80</v>
      </c>
      <c r="S681" s="20">
        <v>67.569999999999993</v>
      </c>
      <c r="T681" s="20">
        <v>12.43</v>
      </c>
      <c r="U681" s="20">
        <v>-0.2</v>
      </c>
      <c r="V681" s="20">
        <v>2967.37</v>
      </c>
    </row>
    <row r="682" spans="1:22" ht="16.8" x14ac:dyDescent="0.3">
      <c r="A682" s="26">
        <v>68.2</v>
      </c>
      <c r="B682" s="26">
        <v>70.67</v>
      </c>
      <c r="C682" s="20">
        <v>80</v>
      </c>
      <c r="D682" s="20">
        <v>9.33</v>
      </c>
      <c r="E682" s="20">
        <v>-0.36</v>
      </c>
      <c r="F682" s="20">
        <v>3763.73</v>
      </c>
      <c r="Q682" s="25">
        <v>68.099999999999994</v>
      </c>
      <c r="R682" s="20">
        <v>80</v>
      </c>
      <c r="S682" s="20">
        <v>67.78</v>
      </c>
      <c r="T682" s="20">
        <v>12.22</v>
      </c>
      <c r="U682" s="20">
        <v>-0.22</v>
      </c>
      <c r="V682" s="20">
        <v>2952.51</v>
      </c>
    </row>
    <row r="683" spans="1:22" ht="16.8" x14ac:dyDescent="0.3">
      <c r="A683" s="26">
        <v>68.3</v>
      </c>
      <c r="B683" s="26">
        <v>71.08</v>
      </c>
      <c r="C683" s="20">
        <v>80</v>
      </c>
      <c r="D683" s="20">
        <v>8.92</v>
      </c>
      <c r="E683" s="20">
        <v>-0.42</v>
      </c>
      <c r="F683" s="20">
        <v>3671.33</v>
      </c>
      <c r="Q683" s="25">
        <v>68.2</v>
      </c>
      <c r="R683" s="20">
        <v>80</v>
      </c>
      <c r="S683" s="20">
        <v>68.05</v>
      </c>
      <c r="T683" s="20">
        <v>11.95</v>
      </c>
      <c r="U683" s="20">
        <v>-0.27</v>
      </c>
      <c r="V683" s="20">
        <v>2951.02</v>
      </c>
    </row>
    <row r="684" spans="1:22" ht="16.8" x14ac:dyDescent="0.3">
      <c r="A684" s="26">
        <v>68.400000000000006</v>
      </c>
      <c r="B684" s="26">
        <v>71.430000000000007</v>
      </c>
      <c r="C684" s="20">
        <v>80</v>
      </c>
      <c r="D684" s="20">
        <v>8.57</v>
      </c>
      <c r="E684" s="20">
        <v>-0.34</v>
      </c>
      <c r="F684" s="20">
        <v>3703.72</v>
      </c>
      <c r="Q684" s="20">
        <v>68.3</v>
      </c>
      <c r="R684" s="20">
        <v>80</v>
      </c>
      <c r="S684" s="20">
        <v>68.27</v>
      </c>
      <c r="T684" s="20">
        <v>11.73</v>
      </c>
      <c r="U684" s="20">
        <v>-0.22</v>
      </c>
      <c r="V684" s="20">
        <v>2895.55</v>
      </c>
    </row>
    <row r="685" spans="1:22" ht="16.8" x14ac:dyDescent="0.3">
      <c r="A685" s="26">
        <v>68.5</v>
      </c>
      <c r="B685" s="26">
        <v>71.849999999999994</v>
      </c>
      <c r="C685" s="20">
        <v>80</v>
      </c>
      <c r="D685" s="20">
        <v>8.15</v>
      </c>
      <c r="E685" s="20">
        <v>-0.43</v>
      </c>
      <c r="F685" s="20">
        <v>3577.61</v>
      </c>
      <c r="Q685" s="25">
        <v>68.400000000000006</v>
      </c>
      <c r="R685" s="20">
        <v>80</v>
      </c>
      <c r="S685" s="20">
        <v>68.5</v>
      </c>
      <c r="T685" s="20">
        <v>11.5</v>
      </c>
      <c r="U685" s="20">
        <v>-0.23</v>
      </c>
      <c r="V685" s="20">
        <v>2867.38</v>
      </c>
    </row>
    <row r="686" spans="1:22" ht="16.8" x14ac:dyDescent="0.3">
      <c r="A686" s="26">
        <v>68.599999999999994</v>
      </c>
      <c r="B686" s="26">
        <v>72.27</v>
      </c>
      <c r="C686" s="20">
        <v>80</v>
      </c>
      <c r="D686" s="20">
        <v>7.73</v>
      </c>
      <c r="E686" s="20">
        <v>-0.42</v>
      </c>
      <c r="F686" s="20">
        <v>3535.56</v>
      </c>
      <c r="Q686" s="20">
        <v>68.5</v>
      </c>
      <c r="R686" s="20">
        <v>80</v>
      </c>
      <c r="S686" s="20">
        <v>68.7</v>
      </c>
      <c r="T686" s="20">
        <v>11.3</v>
      </c>
      <c r="U686" s="20">
        <v>-0.2</v>
      </c>
      <c r="V686" s="20">
        <v>2823.22</v>
      </c>
    </row>
    <row r="687" spans="1:22" ht="16.8" x14ac:dyDescent="0.3">
      <c r="A687" s="26">
        <v>68.7</v>
      </c>
      <c r="B687" s="26">
        <v>72.599999999999994</v>
      </c>
      <c r="C687" s="20">
        <v>80</v>
      </c>
      <c r="D687" s="20">
        <v>7.4</v>
      </c>
      <c r="E687" s="20">
        <v>-0.32</v>
      </c>
      <c r="F687" s="20">
        <v>3589.77</v>
      </c>
      <c r="Q687" s="25">
        <v>68.599999999999994</v>
      </c>
      <c r="R687" s="20">
        <v>80</v>
      </c>
      <c r="S687" s="20">
        <v>68.95</v>
      </c>
      <c r="T687" s="20">
        <v>11.05</v>
      </c>
      <c r="U687" s="20">
        <v>-0.25</v>
      </c>
      <c r="V687" s="20">
        <v>2802.75</v>
      </c>
    </row>
    <row r="688" spans="1:22" ht="16.8" x14ac:dyDescent="0.3">
      <c r="A688" s="26">
        <v>68.8</v>
      </c>
      <c r="B688" s="26">
        <v>72.94</v>
      </c>
      <c r="C688" s="20">
        <v>80</v>
      </c>
      <c r="D688" s="20">
        <v>7.06</v>
      </c>
      <c r="E688" s="20">
        <v>-0.34</v>
      </c>
      <c r="F688" s="20">
        <v>3533.49</v>
      </c>
      <c r="Q688" s="25">
        <v>68.7</v>
      </c>
      <c r="R688" s="20">
        <v>80</v>
      </c>
      <c r="S688" s="20">
        <v>69.17</v>
      </c>
      <c r="T688" s="20">
        <v>10.83</v>
      </c>
      <c r="U688" s="20">
        <v>-0.23</v>
      </c>
      <c r="V688" s="20">
        <v>2751.21</v>
      </c>
    </row>
    <row r="689" spans="1:22" ht="16.8" x14ac:dyDescent="0.3">
      <c r="A689" s="26">
        <v>68.900000000000006</v>
      </c>
      <c r="B689" s="26">
        <v>73.239999999999995</v>
      </c>
      <c r="C689" s="20">
        <v>80</v>
      </c>
      <c r="D689" s="20">
        <v>6.76</v>
      </c>
      <c r="E689" s="20">
        <v>-0.31</v>
      </c>
      <c r="F689" s="20">
        <v>3533.73</v>
      </c>
      <c r="Q689" s="20">
        <v>68.8</v>
      </c>
      <c r="R689" s="20">
        <v>80</v>
      </c>
      <c r="S689" s="20">
        <v>69.349999999999994</v>
      </c>
      <c r="T689" s="20">
        <v>10.65</v>
      </c>
      <c r="U689" s="20">
        <v>-0.18</v>
      </c>
      <c r="V689" s="20">
        <v>2702.22</v>
      </c>
    </row>
    <row r="690" spans="1:22" ht="16.8" x14ac:dyDescent="0.3">
      <c r="A690" s="26">
        <v>69</v>
      </c>
      <c r="B690" s="26">
        <v>73.61</v>
      </c>
      <c r="C690" s="20">
        <v>80</v>
      </c>
      <c r="D690" s="20">
        <v>6.39</v>
      </c>
      <c r="E690" s="20">
        <v>-0.37</v>
      </c>
      <c r="F690" s="20">
        <v>3434.66</v>
      </c>
      <c r="Q690" s="25">
        <v>68.900000000000006</v>
      </c>
      <c r="R690" s="20">
        <v>80</v>
      </c>
      <c r="S690" s="20">
        <v>69.61</v>
      </c>
      <c r="T690" s="20">
        <v>10.39</v>
      </c>
      <c r="U690" s="20">
        <v>-0.26</v>
      </c>
      <c r="V690" s="20">
        <v>2663.89</v>
      </c>
    </row>
    <row r="691" spans="1:22" ht="16.8" x14ac:dyDescent="0.3">
      <c r="A691" s="26">
        <v>69.099999999999994</v>
      </c>
      <c r="B691" s="26">
        <v>73.94</v>
      </c>
      <c r="C691" s="20">
        <v>80</v>
      </c>
      <c r="D691" s="20">
        <v>6.06</v>
      </c>
      <c r="E691" s="20">
        <v>-0.33</v>
      </c>
      <c r="F691" s="20">
        <v>3432.87</v>
      </c>
      <c r="Q691" s="20">
        <v>69</v>
      </c>
      <c r="R691" s="20">
        <v>80</v>
      </c>
      <c r="S691" s="20">
        <v>69.739999999999995</v>
      </c>
      <c r="T691" s="20">
        <v>10.26</v>
      </c>
      <c r="U691" s="20">
        <v>-0.13</v>
      </c>
      <c r="V691" s="20">
        <v>2612.73</v>
      </c>
    </row>
    <row r="692" spans="1:22" ht="16.8" x14ac:dyDescent="0.3">
      <c r="A692" s="26">
        <v>69.2</v>
      </c>
      <c r="B692" s="26">
        <v>74.23</v>
      </c>
      <c r="C692" s="20">
        <v>80</v>
      </c>
      <c r="D692" s="20">
        <v>5.77</v>
      </c>
      <c r="E692" s="20">
        <v>-0.28999999999999998</v>
      </c>
      <c r="F692" s="20">
        <v>3432.86</v>
      </c>
      <c r="Q692" s="25">
        <v>69.099999999999994</v>
      </c>
      <c r="R692" s="20">
        <v>80</v>
      </c>
      <c r="S692" s="20">
        <v>70.010000000000005</v>
      </c>
      <c r="T692" s="20">
        <v>9.99</v>
      </c>
      <c r="U692" s="20">
        <v>-0.27</v>
      </c>
      <c r="V692" s="20">
        <v>2550</v>
      </c>
    </row>
    <row r="693" spans="1:22" ht="16.8" x14ac:dyDescent="0.3">
      <c r="A693" s="26">
        <v>69.3</v>
      </c>
      <c r="B693" s="26">
        <v>74.53</v>
      </c>
      <c r="C693" s="20">
        <v>80</v>
      </c>
      <c r="D693" s="20">
        <v>5.47</v>
      </c>
      <c r="E693" s="20">
        <v>-0.31</v>
      </c>
      <c r="F693" s="20">
        <v>3381.66</v>
      </c>
      <c r="Q693" s="25">
        <v>69.2</v>
      </c>
      <c r="R693" s="20">
        <v>80</v>
      </c>
      <c r="S693" s="20">
        <v>70.17</v>
      </c>
      <c r="T693" s="20">
        <v>9.83</v>
      </c>
      <c r="U693" s="20">
        <v>-0.15</v>
      </c>
      <c r="V693" s="20">
        <v>2550</v>
      </c>
    </row>
    <row r="694" spans="1:22" ht="16.8" x14ac:dyDescent="0.3">
      <c r="A694" s="26">
        <v>69.400000000000006</v>
      </c>
      <c r="B694" s="26">
        <v>74.84</v>
      </c>
      <c r="C694" s="20">
        <v>80</v>
      </c>
      <c r="D694" s="20">
        <v>5.16</v>
      </c>
      <c r="E694" s="20">
        <v>-0.31</v>
      </c>
      <c r="F694" s="20">
        <v>3339.74</v>
      </c>
      <c r="Q694" s="20">
        <v>69.3</v>
      </c>
      <c r="R694" s="20">
        <v>80</v>
      </c>
      <c r="S694" s="20">
        <v>70.36</v>
      </c>
      <c r="T694" s="20">
        <v>9.64</v>
      </c>
      <c r="U694" s="20">
        <v>-0.19</v>
      </c>
      <c r="V694" s="20">
        <v>2550</v>
      </c>
    </row>
    <row r="695" spans="1:22" ht="16.8" x14ac:dyDescent="0.3">
      <c r="A695" s="26">
        <v>69.5</v>
      </c>
      <c r="B695" s="26">
        <v>75.14</v>
      </c>
      <c r="C695" s="20">
        <v>80</v>
      </c>
      <c r="D695" s="20">
        <v>4.8600000000000003</v>
      </c>
      <c r="E695" s="20">
        <v>-0.28999999999999998</v>
      </c>
      <c r="F695" s="20">
        <v>3317.96</v>
      </c>
      <c r="Q695" s="25">
        <v>69.400000000000006</v>
      </c>
      <c r="R695" s="20">
        <v>80</v>
      </c>
      <c r="S695" s="20">
        <v>70.540000000000006</v>
      </c>
      <c r="T695" s="20">
        <v>9.4600000000000009</v>
      </c>
      <c r="U695" s="20">
        <v>-0.19</v>
      </c>
      <c r="V695" s="20">
        <v>2550</v>
      </c>
    </row>
    <row r="696" spans="1:22" ht="16.8" x14ac:dyDescent="0.3">
      <c r="A696" s="26">
        <v>69.599999999999994</v>
      </c>
      <c r="B696" s="26">
        <v>75.41</v>
      </c>
      <c r="C696" s="20">
        <v>80</v>
      </c>
      <c r="D696" s="20">
        <v>4.59</v>
      </c>
      <c r="E696" s="20">
        <v>-0.27</v>
      </c>
      <c r="F696" s="20">
        <v>3302.52</v>
      </c>
      <c r="Q696" s="20">
        <v>69.5</v>
      </c>
      <c r="R696" s="20">
        <v>80</v>
      </c>
      <c r="S696" s="20">
        <v>70.709999999999994</v>
      </c>
      <c r="T696" s="20">
        <v>9.2899999999999991</v>
      </c>
      <c r="U696" s="20">
        <v>-0.16</v>
      </c>
      <c r="V696" s="20">
        <v>2550</v>
      </c>
    </row>
    <row r="697" spans="1:22" ht="16.8" x14ac:dyDescent="0.3">
      <c r="A697" s="26">
        <v>69.7</v>
      </c>
      <c r="B697" s="26">
        <v>75.680000000000007</v>
      </c>
      <c r="C697" s="20">
        <v>80</v>
      </c>
      <c r="D697" s="20">
        <v>4.32</v>
      </c>
      <c r="E697" s="20">
        <v>-0.27</v>
      </c>
      <c r="F697" s="20">
        <v>3276.7</v>
      </c>
      <c r="Q697" s="25">
        <v>69.599999999999994</v>
      </c>
      <c r="R697" s="20">
        <v>80</v>
      </c>
      <c r="S697" s="20">
        <v>70.87</v>
      </c>
      <c r="T697" s="20">
        <v>9.1300000000000008</v>
      </c>
      <c r="U697" s="20">
        <v>-0.17</v>
      </c>
      <c r="V697" s="20">
        <v>2550</v>
      </c>
    </row>
    <row r="698" spans="1:22" ht="16.8" x14ac:dyDescent="0.3">
      <c r="A698" s="26">
        <v>69.8</v>
      </c>
      <c r="B698" s="26">
        <v>75.959999999999994</v>
      </c>
      <c r="C698" s="20">
        <v>80</v>
      </c>
      <c r="D698" s="20">
        <v>4.04</v>
      </c>
      <c r="E698" s="20">
        <v>-0.28999999999999998</v>
      </c>
      <c r="F698" s="20">
        <v>3220.93</v>
      </c>
      <c r="Q698" s="20">
        <v>69.7</v>
      </c>
      <c r="R698" s="20">
        <v>80</v>
      </c>
      <c r="S698" s="20">
        <v>71</v>
      </c>
      <c r="T698" s="20">
        <v>9</v>
      </c>
      <c r="U698" s="20">
        <v>-0.13</v>
      </c>
      <c r="V698" s="20">
        <v>2550</v>
      </c>
    </row>
    <row r="699" spans="1:22" ht="16.8" x14ac:dyDescent="0.3">
      <c r="A699" s="26">
        <v>69.900000000000006</v>
      </c>
      <c r="B699" s="26">
        <v>76.17</v>
      </c>
      <c r="C699" s="20">
        <v>80</v>
      </c>
      <c r="D699" s="20">
        <v>3.83</v>
      </c>
      <c r="E699" s="20">
        <v>-0.21</v>
      </c>
      <c r="F699" s="20">
        <v>3265.5</v>
      </c>
      <c r="Q699" s="25">
        <v>69.8</v>
      </c>
      <c r="R699" s="20">
        <v>80</v>
      </c>
      <c r="S699" s="20">
        <v>71.17</v>
      </c>
      <c r="T699" s="20">
        <v>8.83</v>
      </c>
      <c r="U699" s="20">
        <v>-0.17</v>
      </c>
      <c r="V699" s="20">
        <v>2550</v>
      </c>
    </row>
    <row r="700" spans="1:22" ht="16.8" x14ac:dyDescent="0.3">
      <c r="A700" s="26">
        <v>70</v>
      </c>
      <c r="B700" s="26">
        <v>76.459999999999994</v>
      </c>
      <c r="C700" s="20">
        <v>80</v>
      </c>
      <c r="D700" s="20">
        <v>3.54</v>
      </c>
      <c r="E700" s="20">
        <v>-0.28999999999999998</v>
      </c>
      <c r="F700" s="20">
        <v>3152.7</v>
      </c>
      <c r="Q700" s="25">
        <v>69.900000000000006</v>
      </c>
      <c r="R700" s="20">
        <v>80</v>
      </c>
      <c r="S700" s="20">
        <v>71.25</v>
      </c>
      <c r="T700" s="20">
        <v>8.75</v>
      </c>
      <c r="U700" s="20">
        <v>-0.08</v>
      </c>
      <c r="V700" s="20">
        <v>2550</v>
      </c>
    </row>
    <row r="701" spans="1:22" ht="16.8" x14ac:dyDescent="0.3">
      <c r="A701" s="26">
        <v>70.099999999999994</v>
      </c>
      <c r="B701" s="26">
        <v>76.739999999999995</v>
      </c>
      <c r="C701" s="20">
        <v>80</v>
      </c>
      <c r="D701" s="20">
        <v>3.26</v>
      </c>
      <c r="E701" s="20">
        <v>-0.27</v>
      </c>
      <c r="F701" s="20">
        <v>3129.53</v>
      </c>
      <c r="Q701" s="20">
        <v>70</v>
      </c>
      <c r="R701" s="20">
        <v>80</v>
      </c>
      <c r="S701" s="20">
        <v>71.42</v>
      </c>
      <c r="T701" s="20">
        <v>8.58</v>
      </c>
      <c r="U701" s="20">
        <v>-0.17</v>
      </c>
      <c r="V701" s="20">
        <v>2550</v>
      </c>
    </row>
    <row r="702" spans="1:22" ht="16.8" x14ac:dyDescent="0.3">
      <c r="A702" s="26">
        <v>70.2</v>
      </c>
      <c r="B702" s="26">
        <v>76.94</v>
      </c>
      <c r="C702" s="20">
        <v>80</v>
      </c>
      <c r="D702" s="20">
        <v>3.06</v>
      </c>
      <c r="E702" s="20">
        <v>-0.21</v>
      </c>
      <c r="F702" s="20">
        <v>3165.09</v>
      </c>
      <c r="Q702" s="25">
        <v>70.099999999999994</v>
      </c>
      <c r="R702" s="20">
        <v>80</v>
      </c>
      <c r="S702" s="20">
        <v>71.56</v>
      </c>
      <c r="T702" s="20">
        <v>8.44</v>
      </c>
      <c r="U702" s="20">
        <v>-0.13</v>
      </c>
      <c r="V702" s="20">
        <v>2550</v>
      </c>
    </row>
    <row r="703" spans="1:22" ht="16.8" x14ac:dyDescent="0.3">
      <c r="A703" s="26">
        <v>70.3</v>
      </c>
      <c r="B703" s="26">
        <v>77.180000000000007</v>
      </c>
      <c r="C703" s="20">
        <v>80</v>
      </c>
      <c r="D703" s="20">
        <v>2.82</v>
      </c>
      <c r="E703" s="20">
        <v>-0.23</v>
      </c>
      <c r="F703" s="20">
        <v>3107.42</v>
      </c>
      <c r="Q703" s="25">
        <v>70.2</v>
      </c>
      <c r="R703" s="20">
        <v>80</v>
      </c>
      <c r="S703" s="20">
        <v>71.64</v>
      </c>
      <c r="T703" s="20">
        <v>8.36</v>
      </c>
      <c r="U703" s="20">
        <v>-0.09</v>
      </c>
      <c r="V703" s="20">
        <v>2550</v>
      </c>
    </row>
    <row r="704" spans="1:22" ht="16.8" x14ac:dyDescent="0.3">
      <c r="A704" s="26">
        <v>70.400000000000006</v>
      </c>
      <c r="B704" s="26">
        <v>77.38</v>
      </c>
      <c r="C704" s="20">
        <v>80</v>
      </c>
      <c r="D704" s="20">
        <v>2.62</v>
      </c>
      <c r="E704" s="20">
        <v>-0.21</v>
      </c>
      <c r="F704" s="20">
        <v>3105.16</v>
      </c>
      <c r="Q704" s="20">
        <v>70.3</v>
      </c>
      <c r="R704" s="20">
        <v>80</v>
      </c>
      <c r="S704" s="20">
        <v>71.77</v>
      </c>
      <c r="T704" s="20">
        <v>8.23</v>
      </c>
      <c r="U704" s="20">
        <v>-0.12</v>
      </c>
      <c r="V704" s="20">
        <v>2550</v>
      </c>
    </row>
    <row r="705" spans="1:22" ht="16.8" x14ac:dyDescent="0.3">
      <c r="A705" s="26">
        <v>70.5</v>
      </c>
      <c r="B705" s="26">
        <v>77.58</v>
      </c>
      <c r="C705" s="20">
        <v>80</v>
      </c>
      <c r="D705" s="20">
        <v>2.42</v>
      </c>
      <c r="E705" s="20">
        <v>-0.19</v>
      </c>
      <c r="F705" s="20">
        <v>3089.79</v>
      </c>
      <c r="Q705" s="25">
        <v>70.400000000000006</v>
      </c>
      <c r="R705" s="20">
        <v>80</v>
      </c>
      <c r="S705" s="20">
        <v>71.91</v>
      </c>
      <c r="T705" s="20">
        <v>8.09</v>
      </c>
      <c r="U705" s="20">
        <v>-0.14000000000000001</v>
      </c>
      <c r="V705" s="20">
        <v>2550</v>
      </c>
    </row>
    <row r="706" spans="1:22" ht="16.8" x14ac:dyDescent="0.3">
      <c r="A706" s="26">
        <v>70.599999999999994</v>
      </c>
      <c r="B706" s="26">
        <v>77.8</v>
      </c>
      <c r="C706" s="20">
        <v>80</v>
      </c>
      <c r="D706" s="20">
        <v>2.2000000000000002</v>
      </c>
      <c r="E706" s="20">
        <v>-0.22</v>
      </c>
      <c r="F706" s="20">
        <v>3032.3</v>
      </c>
      <c r="Q706" s="20">
        <v>70.5</v>
      </c>
      <c r="R706" s="20">
        <v>80</v>
      </c>
      <c r="S706" s="20">
        <v>72.02</v>
      </c>
      <c r="T706" s="20">
        <v>7.98</v>
      </c>
      <c r="U706" s="20">
        <v>-0.11</v>
      </c>
      <c r="V706" s="20">
        <v>2550</v>
      </c>
    </row>
    <row r="707" spans="1:22" ht="16.8" x14ac:dyDescent="0.3">
      <c r="A707" s="26">
        <v>70.7</v>
      </c>
      <c r="B707" s="26">
        <v>78.010000000000005</v>
      </c>
      <c r="C707" s="20">
        <v>80</v>
      </c>
      <c r="D707" s="20">
        <v>1.99</v>
      </c>
      <c r="E707" s="20">
        <v>-0.21</v>
      </c>
      <c r="F707" s="20">
        <v>3012.79</v>
      </c>
      <c r="Q707" s="25">
        <v>70.599999999999994</v>
      </c>
      <c r="R707" s="20">
        <v>80</v>
      </c>
      <c r="S707" s="20">
        <v>72.180000000000007</v>
      </c>
      <c r="T707" s="20">
        <v>7.82</v>
      </c>
      <c r="U707" s="20">
        <v>-0.17</v>
      </c>
      <c r="V707" s="20">
        <v>2550</v>
      </c>
    </row>
    <row r="708" spans="1:22" ht="16.8" x14ac:dyDescent="0.3">
      <c r="A708" s="26">
        <v>70.8</v>
      </c>
      <c r="B708" s="26">
        <v>78.2</v>
      </c>
      <c r="C708" s="20">
        <v>80</v>
      </c>
      <c r="D708" s="20">
        <v>1.8</v>
      </c>
      <c r="E708" s="20">
        <v>-0.19</v>
      </c>
      <c r="F708" s="20">
        <v>2999.15</v>
      </c>
      <c r="Q708" s="20">
        <v>70.7</v>
      </c>
      <c r="R708" s="20">
        <v>80</v>
      </c>
      <c r="S708" s="20">
        <v>72.319999999999993</v>
      </c>
      <c r="T708" s="20">
        <v>7.68</v>
      </c>
      <c r="U708" s="20">
        <v>-0.13</v>
      </c>
      <c r="V708" s="20">
        <v>2550</v>
      </c>
    </row>
    <row r="709" spans="1:22" ht="16.8" x14ac:dyDescent="0.3">
      <c r="A709" s="26">
        <v>70.900000000000006</v>
      </c>
      <c r="B709" s="26">
        <v>78.38</v>
      </c>
      <c r="C709" s="20">
        <v>80</v>
      </c>
      <c r="D709" s="20">
        <v>1.62</v>
      </c>
      <c r="E709" s="20">
        <v>-0.18</v>
      </c>
      <c r="F709" s="20">
        <v>2987.76</v>
      </c>
      <c r="Q709" s="25">
        <v>70.8</v>
      </c>
      <c r="R709" s="20">
        <v>80</v>
      </c>
      <c r="S709" s="20">
        <v>72.45</v>
      </c>
      <c r="T709" s="20">
        <v>7.55</v>
      </c>
      <c r="U709" s="20">
        <v>-0.14000000000000001</v>
      </c>
      <c r="V709" s="20">
        <v>2550</v>
      </c>
    </row>
    <row r="710" spans="1:22" ht="16.8" x14ac:dyDescent="0.3">
      <c r="A710" s="26">
        <v>71</v>
      </c>
      <c r="B710" s="26">
        <v>78.56</v>
      </c>
      <c r="C710" s="20">
        <v>80</v>
      </c>
      <c r="D710" s="20">
        <v>1.44</v>
      </c>
      <c r="E710" s="20">
        <v>-0.18</v>
      </c>
      <c r="F710" s="20">
        <v>2956.87</v>
      </c>
      <c r="Q710" s="25">
        <v>70.900000000000006</v>
      </c>
      <c r="R710" s="20">
        <v>80</v>
      </c>
      <c r="S710" s="20">
        <v>72.56</v>
      </c>
      <c r="T710" s="20">
        <v>7.44</v>
      </c>
      <c r="U710" s="20">
        <v>-0.11</v>
      </c>
      <c r="V710" s="20">
        <v>2550</v>
      </c>
    </row>
    <row r="711" spans="1:22" ht="16.8" x14ac:dyDescent="0.3">
      <c r="A711" s="20">
        <v>71.099999999999994</v>
      </c>
      <c r="B711" s="20">
        <v>78.739999999999995</v>
      </c>
      <c r="C711" s="20">
        <v>80</v>
      </c>
      <c r="D711" s="20">
        <v>1.26</v>
      </c>
      <c r="E711" s="20">
        <v>-0.18</v>
      </c>
      <c r="F711" s="20">
        <v>2929.07</v>
      </c>
      <c r="Q711" s="20">
        <v>71</v>
      </c>
      <c r="R711" s="20">
        <v>80</v>
      </c>
      <c r="S711" s="20">
        <v>72.69</v>
      </c>
      <c r="T711" s="20">
        <v>7.31</v>
      </c>
      <c r="U711" s="20">
        <v>-0.12</v>
      </c>
      <c r="V711" s="20">
        <v>2550</v>
      </c>
    </row>
    <row r="712" spans="1:22" ht="16.8" x14ac:dyDescent="0.3">
      <c r="A712" s="20">
        <v>71.2</v>
      </c>
      <c r="B712" s="20">
        <v>78.92</v>
      </c>
      <c r="C712" s="20">
        <v>80</v>
      </c>
      <c r="D712" s="20">
        <v>1.08</v>
      </c>
      <c r="E712" s="20">
        <v>-0.18</v>
      </c>
      <c r="F712" s="20">
        <v>2900.69</v>
      </c>
      <c r="Q712" s="25">
        <v>71.099999999999994</v>
      </c>
      <c r="R712" s="20">
        <v>80</v>
      </c>
      <c r="S712" s="20">
        <v>72.83</v>
      </c>
      <c r="T712" s="20">
        <v>7.17</v>
      </c>
      <c r="U712" s="20">
        <v>-0.14000000000000001</v>
      </c>
      <c r="V712" s="20">
        <v>2550</v>
      </c>
    </row>
    <row r="713" spans="1:22" ht="16.8" x14ac:dyDescent="0.3">
      <c r="A713" s="20">
        <v>71.3</v>
      </c>
      <c r="B713" s="20">
        <v>79.05</v>
      </c>
      <c r="C713" s="20">
        <v>80</v>
      </c>
      <c r="D713" s="20">
        <v>0.95</v>
      </c>
      <c r="E713" s="20">
        <v>-0.13</v>
      </c>
      <c r="F713" s="20">
        <v>2924.18</v>
      </c>
      <c r="Q713" s="20">
        <v>71.2</v>
      </c>
      <c r="R713" s="20">
        <v>80</v>
      </c>
      <c r="S713" s="20">
        <v>72.930000000000007</v>
      </c>
      <c r="T713" s="20">
        <v>7.07</v>
      </c>
      <c r="U713" s="20">
        <v>-0.1</v>
      </c>
      <c r="V713" s="20">
        <v>2550</v>
      </c>
    </row>
    <row r="714" spans="1:22" ht="16.8" x14ac:dyDescent="0.3">
      <c r="A714" s="20">
        <v>71.400000000000006</v>
      </c>
      <c r="B714" s="20">
        <v>79.27</v>
      </c>
      <c r="C714" s="20">
        <v>80</v>
      </c>
      <c r="D714" s="20">
        <v>0.73</v>
      </c>
      <c r="E714" s="20">
        <v>-0.21</v>
      </c>
      <c r="F714" s="20">
        <v>2816.09</v>
      </c>
      <c r="Q714" s="25">
        <v>71.3</v>
      </c>
      <c r="R714" s="20">
        <v>80</v>
      </c>
      <c r="S714" s="20">
        <v>73.069999999999993</v>
      </c>
      <c r="T714" s="20">
        <v>6.93</v>
      </c>
      <c r="U714" s="20">
        <v>-0.14000000000000001</v>
      </c>
      <c r="V714" s="20">
        <v>2550</v>
      </c>
    </row>
    <row r="715" spans="1:22" ht="16.8" x14ac:dyDescent="0.3">
      <c r="A715" s="20">
        <v>71.5</v>
      </c>
      <c r="B715" s="20">
        <v>79.42</v>
      </c>
      <c r="C715" s="20">
        <v>80</v>
      </c>
      <c r="D715" s="20">
        <v>0.57999999999999996</v>
      </c>
      <c r="E715" s="20">
        <v>-0.15</v>
      </c>
      <c r="F715" s="20">
        <v>2850.22</v>
      </c>
      <c r="Q715" s="25">
        <v>71.400000000000006</v>
      </c>
      <c r="R715" s="20">
        <v>80</v>
      </c>
      <c r="S715" s="20">
        <v>73.19</v>
      </c>
      <c r="T715" s="20">
        <v>6.81</v>
      </c>
      <c r="U715" s="20">
        <v>-0.12</v>
      </c>
      <c r="V715" s="20">
        <v>2550</v>
      </c>
    </row>
    <row r="716" spans="1:22" ht="16.8" x14ac:dyDescent="0.3">
      <c r="A716" s="20">
        <v>71.599999999999994</v>
      </c>
      <c r="B716" s="20">
        <v>79.55</v>
      </c>
      <c r="C716" s="20">
        <v>80</v>
      </c>
      <c r="D716" s="20">
        <v>0.45</v>
      </c>
      <c r="E716" s="20">
        <v>-0.13</v>
      </c>
      <c r="F716" s="20">
        <v>2847.33</v>
      </c>
      <c r="Q716" s="20">
        <v>71.5</v>
      </c>
      <c r="R716" s="20">
        <v>80</v>
      </c>
      <c r="S716" s="20">
        <v>73.28</v>
      </c>
      <c r="T716" s="20">
        <v>6.72</v>
      </c>
      <c r="U716" s="20">
        <v>-0.08</v>
      </c>
      <c r="V716" s="20">
        <v>2550</v>
      </c>
    </row>
    <row r="717" spans="1:22" ht="16.8" x14ac:dyDescent="0.3">
      <c r="A717" s="20">
        <v>71.7</v>
      </c>
      <c r="B717" s="20">
        <v>79.64</v>
      </c>
      <c r="C717" s="20">
        <v>80</v>
      </c>
      <c r="D717" s="20">
        <v>0.36</v>
      </c>
      <c r="E717" s="20">
        <v>-0.1</v>
      </c>
      <c r="F717" s="20">
        <v>2860.73</v>
      </c>
      <c r="Q717" s="25">
        <v>71.599999999999994</v>
      </c>
      <c r="R717" s="20">
        <v>80</v>
      </c>
      <c r="S717" s="20">
        <v>73.41</v>
      </c>
      <c r="T717" s="20">
        <v>6.59</v>
      </c>
      <c r="U717" s="20">
        <v>-0.14000000000000001</v>
      </c>
      <c r="V717" s="20">
        <v>2550</v>
      </c>
    </row>
    <row r="718" spans="1:22" ht="16.8" x14ac:dyDescent="0.3">
      <c r="A718" s="20">
        <v>71.8</v>
      </c>
      <c r="B718" s="20">
        <v>79.81</v>
      </c>
      <c r="C718" s="20">
        <v>80</v>
      </c>
      <c r="D718" s="20">
        <v>0.19</v>
      </c>
      <c r="E718" s="20">
        <v>-0.17</v>
      </c>
      <c r="F718" s="20">
        <v>2766.01</v>
      </c>
      <c r="Q718" s="20">
        <v>71.7</v>
      </c>
      <c r="R718" s="20">
        <v>80</v>
      </c>
      <c r="S718" s="20">
        <v>73.53</v>
      </c>
      <c r="T718" s="20">
        <v>6.47</v>
      </c>
      <c r="U718" s="20">
        <v>-0.12</v>
      </c>
      <c r="V718" s="20">
        <v>2550</v>
      </c>
    </row>
    <row r="719" spans="1:22" ht="16.8" x14ac:dyDescent="0.3">
      <c r="A719" s="20">
        <v>71.900000000000006</v>
      </c>
      <c r="B719" s="20">
        <v>79.95</v>
      </c>
      <c r="C719" s="20">
        <v>80</v>
      </c>
      <c r="D719" s="20">
        <v>0.05</v>
      </c>
      <c r="E719" s="20">
        <v>-0.13</v>
      </c>
      <c r="F719" s="20">
        <v>2775.78</v>
      </c>
      <c r="Q719" s="25">
        <v>71.8</v>
      </c>
      <c r="R719" s="20">
        <v>80</v>
      </c>
      <c r="S719" s="20">
        <v>73.62</v>
      </c>
      <c r="T719" s="20">
        <v>6.38</v>
      </c>
      <c r="U719" s="20">
        <v>-0.08</v>
      </c>
      <c r="V719" s="20">
        <v>2550</v>
      </c>
    </row>
    <row r="720" spans="1:22" ht="16.8" x14ac:dyDescent="0.3">
      <c r="A720" s="20">
        <v>72</v>
      </c>
      <c r="B720" s="20">
        <v>80.05</v>
      </c>
      <c r="C720" s="20">
        <v>80</v>
      </c>
      <c r="D720" s="20">
        <v>-0.05</v>
      </c>
      <c r="E720" s="20">
        <v>-0.11</v>
      </c>
      <c r="F720" s="20">
        <v>2778.48</v>
      </c>
      <c r="Q720" s="20">
        <v>71.900000000000006</v>
      </c>
      <c r="R720" s="20">
        <v>80</v>
      </c>
      <c r="S720" s="20">
        <v>73.73</v>
      </c>
      <c r="T720" s="20">
        <v>6.27</v>
      </c>
      <c r="U720" s="20">
        <v>-0.12</v>
      </c>
      <c r="V720" s="20">
        <v>2550</v>
      </c>
    </row>
    <row r="721" spans="1:22" ht="16.8" x14ac:dyDescent="0.3">
      <c r="A721" s="20">
        <v>72.099999999999994</v>
      </c>
      <c r="B721" s="20">
        <v>80.17</v>
      </c>
      <c r="C721" s="20">
        <v>80</v>
      </c>
      <c r="D721" s="20">
        <v>-0.17</v>
      </c>
      <c r="E721" s="20">
        <v>-0.12</v>
      </c>
      <c r="F721" s="20">
        <v>2745.85</v>
      </c>
      <c r="Q721" s="25">
        <v>72</v>
      </c>
      <c r="R721" s="20">
        <v>80</v>
      </c>
      <c r="S721" s="20">
        <v>73.819999999999993</v>
      </c>
      <c r="T721" s="20">
        <v>6.18</v>
      </c>
      <c r="U721" s="20">
        <v>-0.09</v>
      </c>
      <c r="V721" s="20">
        <v>2550</v>
      </c>
    </row>
    <row r="722" spans="1:22" ht="16.8" x14ac:dyDescent="0.3">
      <c r="A722" s="20">
        <v>72.2</v>
      </c>
      <c r="B722" s="20">
        <v>80.319999999999993</v>
      </c>
      <c r="C722" s="20">
        <v>80</v>
      </c>
      <c r="D722" s="20">
        <v>-0.32</v>
      </c>
      <c r="E722" s="20">
        <v>-0.14000000000000001</v>
      </c>
      <c r="F722" s="20">
        <v>2701.95</v>
      </c>
      <c r="Q722" s="25">
        <v>72.099999999999994</v>
      </c>
      <c r="R722" s="20">
        <v>80</v>
      </c>
      <c r="S722" s="20">
        <v>73.88</v>
      </c>
      <c r="T722" s="20">
        <v>6.12</v>
      </c>
      <c r="U722" s="20">
        <v>-0.06</v>
      </c>
      <c r="V722" s="20">
        <v>2550</v>
      </c>
    </row>
    <row r="723" spans="1:22" ht="16.8" x14ac:dyDescent="0.3">
      <c r="A723" s="20">
        <v>72.3</v>
      </c>
      <c r="B723" s="20">
        <v>80.41</v>
      </c>
      <c r="C723" s="20">
        <v>80</v>
      </c>
      <c r="D723" s="20">
        <v>-0.41</v>
      </c>
      <c r="E723" s="20">
        <v>-0.09</v>
      </c>
      <c r="F723" s="20">
        <v>2728.28</v>
      </c>
      <c r="Q723" s="20">
        <v>72.2</v>
      </c>
      <c r="R723" s="20">
        <v>80</v>
      </c>
      <c r="S723" s="20">
        <v>74.02</v>
      </c>
      <c r="T723" s="20">
        <v>5.98</v>
      </c>
      <c r="U723" s="20">
        <v>-0.14000000000000001</v>
      </c>
      <c r="V723" s="20">
        <v>2550</v>
      </c>
    </row>
    <row r="724" spans="1:22" ht="16.8" x14ac:dyDescent="0.3">
      <c r="A724" s="20">
        <v>72.400000000000006</v>
      </c>
      <c r="B724" s="20">
        <v>80.5</v>
      </c>
      <c r="C724" s="20">
        <v>80</v>
      </c>
      <c r="D724" s="20">
        <v>-0.5</v>
      </c>
      <c r="E724" s="20">
        <v>-0.09</v>
      </c>
      <c r="F724" s="20">
        <v>2710.52</v>
      </c>
      <c r="Q724" s="25">
        <v>72.3</v>
      </c>
      <c r="R724" s="20">
        <v>80</v>
      </c>
      <c r="S724" s="20">
        <v>74.13</v>
      </c>
      <c r="T724" s="20">
        <v>5.87</v>
      </c>
      <c r="U724" s="20">
        <v>-0.11</v>
      </c>
      <c r="V724" s="20">
        <v>2550</v>
      </c>
    </row>
    <row r="725" spans="1:22" ht="16.8" x14ac:dyDescent="0.3">
      <c r="A725" s="20">
        <v>72.5</v>
      </c>
      <c r="B725" s="20">
        <v>80.599999999999994</v>
      </c>
      <c r="C725" s="20">
        <v>80</v>
      </c>
      <c r="D725" s="20">
        <v>-0.6</v>
      </c>
      <c r="E725" s="20">
        <v>-0.1</v>
      </c>
      <c r="F725" s="20">
        <v>2683.74</v>
      </c>
      <c r="Q725" s="20">
        <v>72.400000000000006</v>
      </c>
      <c r="R725" s="20">
        <v>80</v>
      </c>
      <c r="S725" s="20">
        <v>74.19</v>
      </c>
      <c r="T725" s="20">
        <v>5.81</v>
      </c>
      <c r="U725" s="20">
        <v>-0.05</v>
      </c>
      <c r="V725" s="20">
        <v>2550</v>
      </c>
    </row>
    <row r="726" spans="1:22" ht="16.8" x14ac:dyDescent="0.3">
      <c r="A726" s="20">
        <v>72.599999999999994</v>
      </c>
      <c r="B726" s="20">
        <v>80.739999999999995</v>
      </c>
      <c r="C726" s="20">
        <v>80</v>
      </c>
      <c r="D726" s="20">
        <v>-0.74</v>
      </c>
      <c r="E726" s="20">
        <v>-0.14000000000000001</v>
      </c>
      <c r="F726" s="20">
        <v>2624.62</v>
      </c>
      <c r="Q726" s="25">
        <v>72.5</v>
      </c>
      <c r="R726" s="20">
        <v>80</v>
      </c>
      <c r="S726" s="20">
        <v>74.31</v>
      </c>
      <c r="T726" s="20">
        <v>5.69</v>
      </c>
      <c r="U726" s="20">
        <v>-0.12</v>
      </c>
      <c r="V726" s="20">
        <v>2550</v>
      </c>
    </row>
    <row r="727" spans="1:22" ht="16.8" x14ac:dyDescent="0.3">
      <c r="A727" s="20">
        <v>72.7</v>
      </c>
      <c r="B727" s="20">
        <v>80.73</v>
      </c>
      <c r="C727" s="20">
        <v>80</v>
      </c>
      <c r="D727" s="20">
        <v>-0.73</v>
      </c>
      <c r="E727" s="20">
        <v>0</v>
      </c>
      <c r="F727" s="20">
        <v>2750.82</v>
      </c>
      <c r="Q727" s="25">
        <v>72.599999999999994</v>
      </c>
      <c r="R727" s="20">
        <v>80</v>
      </c>
      <c r="S727" s="20">
        <v>74.42</v>
      </c>
      <c r="T727" s="20">
        <v>5.58</v>
      </c>
      <c r="U727" s="20">
        <v>-0.1</v>
      </c>
      <c r="V727" s="20">
        <v>2550</v>
      </c>
    </row>
    <row r="728" spans="1:22" ht="16.8" x14ac:dyDescent="0.3">
      <c r="A728" s="20">
        <v>72.8</v>
      </c>
      <c r="B728" s="20">
        <v>80.86</v>
      </c>
      <c r="C728" s="20">
        <v>80</v>
      </c>
      <c r="D728" s="20">
        <v>-0.86</v>
      </c>
      <c r="E728" s="20">
        <v>-0.12</v>
      </c>
      <c r="F728" s="20">
        <v>2609.5</v>
      </c>
      <c r="Q728" s="20">
        <v>72.7</v>
      </c>
      <c r="R728" s="20">
        <v>80</v>
      </c>
      <c r="S728" s="20">
        <v>74.489999999999995</v>
      </c>
      <c r="T728" s="20">
        <v>5.51</v>
      </c>
      <c r="U728" s="20">
        <v>-0.08</v>
      </c>
      <c r="V728" s="20">
        <v>2550</v>
      </c>
    </row>
    <row r="729" spans="1:22" ht="16.8" x14ac:dyDescent="0.3">
      <c r="A729" s="20">
        <v>72.900000000000006</v>
      </c>
      <c r="B729" s="20">
        <v>80.73</v>
      </c>
      <c r="C729" s="20">
        <v>80</v>
      </c>
      <c r="D729" s="20">
        <v>-0.73</v>
      </c>
      <c r="E729" s="20">
        <v>0.13</v>
      </c>
      <c r="F729" s="20">
        <v>2859.76</v>
      </c>
      <c r="Q729" s="25">
        <v>72.8</v>
      </c>
      <c r="R729" s="20">
        <v>80</v>
      </c>
      <c r="S729" s="20">
        <v>74.62</v>
      </c>
      <c r="T729" s="20">
        <v>5.38</v>
      </c>
      <c r="U729" s="20">
        <v>-0.12</v>
      </c>
      <c r="V729" s="20">
        <v>2550</v>
      </c>
    </row>
    <row r="730" spans="1:22" ht="16.8" x14ac:dyDescent="0.3">
      <c r="A730" s="20">
        <v>73</v>
      </c>
      <c r="B730" s="20">
        <v>81.02</v>
      </c>
      <c r="C730" s="20">
        <v>80</v>
      </c>
      <c r="D730" s="20">
        <v>-1.02</v>
      </c>
      <c r="E730" s="20">
        <v>-0.28999999999999998</v>
      </c>
      <c r="F730" s="20">
        <v>2421.83</v>
      </c>
      <c r="Q730" s="20">
        <v>72.900000000000006</v>
      </c>
      <c r="R730" s="20">
        <v>80</v>
      </c>
      <c r="S730" s="20">
        <v>74.69</v>
      </c>
      <c r="T730" s="20">
        <v>5.31</v>
      </c>
      <c r="U730" s="20">
        <v>-7.0000000000000007E-2</v>
      </c>
      <c r="V730" s="20">
        <v>2550</v>
      </c>
    </row>
    <row r="731" spans="1:22" ht="16.8" x14ac:dyDescent="0.3">
      <c r="A731" s="20">
        <v>73.099999999999994</v>
      </c>
      <c r="B731" s="20">
        <v>80.39</v>
      </c>
      <c r="C731" s="20">
        <v>80</v>
      </c>
      <c r="D731" s="20">
        <v>-0.39</v>
      </c>
      <c r="E731" s="20">
        <v>0.64</v>
      </c>
      <c r="F731" s="20">
        <v>3375.26</v>
      </c>
      <c r="Q731" s="25">
        <v>73</v>
      </c>
      <c r="R731" s="20">
        <v>80</v>
      </c>
      <c r="S731" s="20">
        <v>74.790000000000006</v>
      </c>
      <c r="T731" s="20">
        <v>5.21</v>
      </c>
      <c r="U731" s="20">
        <v>-0.1</v>
      </c>
      <c r="V731" s="20">
        <v>2550</v>
      </c>
    </row>
    <row r="732" spans="1:22" ht="16.8" x14ac:dyDescent="0.3">
      <c r="A732" s="20">
        <v>73.2</v>
      </c>
      <c r="B732" s="20">
        <v>81.150000000000006</v>
      </c>
      <c r="C732" s="20">
        <v>80</v>
      </c>
      <c r="D732" s="20">
        <v>-1.1499999999999999</v>
      </c>
      <c r="E732" s="20">
        <v>-0.77</v>
      </c>
      <c r="F732" s="20">
        <v>1967.39</v>
      </c>
      <c r="Q732" s="25">
        <v>73.099999999999994</v>
      </c>
      <c r="R732" s="20">
        <v>80</v>
      </c>
      <c r="S732" s="20">
        <v>74.86</v>
      </c>
      <c r="T732" s="20">
        <v>5.14</v>
      </c>
      <c r="U732" s="20">
        <v>-0.08</v>
      </c>
      <c r="V732" s="20">
        <v>2550</v>
      </c>
    </row>
    <row r="733" spans="1:22" ht="16.8" x14ac:dyDescent="0.3">
      <c r="A733" s="20">
        <v>73.3</v>
      </c>
      <c r="B733" s="20">
        <v>80.459999999999994</v>
      </c>
      <c r="C733" s="20">
        <v>80</v>
      </c>
      <c r="D733" s="20">
        <v>-0.46</v>
      </c>
      <c r="E733" s="20">
        <v>0.69</v>
      </c>
      <c r="F733" s="20">
        <v>3404.31</v>
      </c>
      <c r="Q733" s="20">
        <v>73.2</v>
      </c>
      <c r="R733" s="20">
        <v>80</v>
      </c>
      <c r="S733" s="20">
        <v>74.959999999999994</v>
      </c>
      <c r="T733" s="20">
        <v>5.04</v>
      </c>
      <c r="U733" s="20">
        <v>-0.09</v>
      </c>
      <c r="V733" s="20">
        <v>2550</v>
      </c>
    </row>
    <row r="734" spans="1:22" ht="16.8" x14ac:dyDescent="0.3">
      <c r="A734" s="20">
        <v>73.400000000000006</v>
      </c>
      <c r="B734" s="20">
        <v>81.349999999999994</v>
      </c>
      <c r="C734" s="20">
        <v>80</v>
      </c>
      <c r="D734" s="20">
        <v>-1.35</v>
      </c>
      <c r="E734" s="20">
        <v>-0.89</v>
      </c>
      <c r="F734" s="20">
        <v>1817.71</v>
      </c>
      <c r="Q734" s="25">
        <v>73.3</v>
      </c>
      <c r="R734" s="20">
        <v>80</v>
      </c>
      <c r="S734" s="20">
        <v>75.040000000000006</v>
      </c>
      <c r="T734" s="20">
        <v>4.96</v>
      </c>
      <c r="U734" s="20">
        <v>-0.08</v>
      </c>
      <c r="V734" s="20">
        <v>2550</v>
      </c>
    </row>
    <row r="735" spans="1:22" ht="16.8" x14ac:dyDescent="0.3">
      <c r="A735" s="20">
        <v>73.5</v>
      </c>
      <c r="B735" s="20">
        <v>80.59</v>
      </c>
      <c r="C735" s="20">
        <v>80</v>
      </c>
      <c r="D735" s="20">
        <v>-0.59</v>
      </c>
      <c r="E735" s="20">
        <v>0.77</v>
      </c>
      <c r="F735" s="20">
        <v>3446.52</v>
      </c>
      <c r="Q735" s="20">
        <v>73.400000000000006</v>
      </c>
      <c r="R735" s="20">
        <v>80</v>
      </c>
      <c r="S735" s="20">
        <v>75.12</v>
      </c>
      <c r="T735" s="20">
        <v>4.88</v>
      </c>
      <c r="U735" s="20">
        <v>-0.08</v>
      </c>
      <c r="V735" s="20">
        <v>2550</v>
      </c>
    </row>
    <row r="736" spans="1:22" ht="16.8" x14ac:dyDescent="0.3">
      <c r="A736" s="20">
        <v>73.599999999999994</v>
      </c>
      <c r="B736" s="20">
        <v>81.44</v>
      </c>
      <c r="C736" s="20">
        <v>80</v>
      </c>
      <c r="D736" s="20">
        <v>-1.44</v>
      </c>
      <c r="E736" s="20">
        <v>-0.86</v>
      </c>
      <c r="F736" s="20">
        <v>1820.76</v>
      </c>
      <c r="Q736" s="25">
        <v>73.5</v>
      </c>
      <c r="R736" s="20">
        <v>80</v>
      </c>
      <c r="S736" s="20">
        <v>75.17</v>
      </c>
      <c r="T736" s="20">
        <v>4.83</v>
      </c>
      <c r="U736" s="20">
        <v>-0.05</v>
      </c>
      <c r="V736" s="20">
        <v>2550</v>
      </c>
    </row>
    <row r="737" spans="1:22" ht="16.8" x14ac:dyDescent="0.3">
      <c r="A737" s="20">
        <v>73.7</v>
      </c>
      <c r="B737" s="20">
        <v>80.72</v>
      </c>
      <c r="C737" s="20">
        <v>80</v>
      </c>
      <c r="D737" s="20">
        <v>-0.72</v>
      </c>
      <c r="E737" s="20">
        <v>0.72</v>
      </c>
      <c r="F737" s="20">
        <v>3375.68</v>
      </c>
      <c r="Q737" s="25">
        <v>73.599999999999994</v>
      </c>
      <c r="R737" s="20">
        <v>80</v>
      </c>
      <c r="S737" s="20">
        <v>75.3</v>
      </c>
      <c r="T737" s="20">
        <v>4.7</v>
      </c>
      <c r="U737" s="20">
        <v>-0.12</v>
      </c>
      <c r="V737" s="20">
        <v>2550</v>
      </c>
    </row>
    <row r="738" spans="1:22" ht="16.8" x14ac:dyDescent="0.3">
      <c r="A738" s="20">
        <v>73.8</v>
      </c>
      <c r="B738" s="20">
        <v>81.61</v>
      </c>
      <c r="C738" s="20">
        <v>80</v>
      </c>
      <c r="D738" s="20">
        <v>-1.61</v>
      </c>
      <c r="E738" s="20">
        <v>-0.88</v>
      </c>
      <c r="F738" s="20">
        <v>1763.47</v>
      </c>
      <c r="Q738" s="20">
        <v>73.7</v>
      </c>
      <c r="R738" s="20">
        <v>80</v>
      </c>
      <c r="S738" s="20">
        <v>75.37</v>
      </c>
      <c r="T738" s="20">
        <v>4.63</v>
      </c>
      <c r="U738" s="20">
        <v>-0.08</v>
      </c>
      <c r="V738" s="20">
        <v>2550</v>
      </c>
    </row>
    <row r="739" spans="1:22" ht="16.8" x14ac:dyDescent="0.3">
      <c r="A739" s="20">
        <v>73.900000000000006</v>
      </c>
      <c r="B739" s="20">
        <v>80.83</v>
      </c>
      <c r="C739" s="20">
        <v>80</v>
      </c>
      <c r="D739" s="20">
        <v>-0.83</v>
      </c>
      <c r="E739" s="20">
        <v>0.77</v>
      </c>
      <c r="F739" s="20">
        <v>3396.56</v>
      </c>
      <c r="Q739" s="25">
        <v>73.8</v>
      </c>
      <c r="R739" s="20">
        <v>80</v>
      </c>
      <c r="S739" s="20">
        <v>75.44</v>
      </c>
      <c r="T739" s="20">
        <v>4.5599999999999996</v>
      </c>
      <c r="U739" s="20">
        <v>-7.0000000000000007E-2</v>
      </c>
      <c r="V739" s="20">
        <v>2550</v>
      </c>
    </row>
    <row r="740" spans="1:22" ht="16.8" x14ac:dyDescent="0.3">
      <c r="A740" s="20">
        <v>74</v>
      </c>
      <c r="B740" s="20">
        <v>81.73</v>
      </c>
      <c r="C740" s="20">
        <v>80</v>
      </c>
      <c r="D740" s="20">
        <v>-1.73</v>
      </c>
      <c r="E740" s="20">
        <v>-0.9</v>
      </c>
      <c r="F740" s="20">
        <v>1714.72</v>
      </c>
      <c r="Q740" s="20">
        <v>73.900000000000006</v>
      </c>
      <c r="R740" s="20">
        <v>80</v>
      </c>
      <c r="S740" s="20">
        <v>75.569999999999993</v>
      </c>
      <c r="T740" s="20">
        <v>4.43</v>
      </c>
      <c r="U740" s="20">
        <v>-0.12</v>
      </c>
      <c r="V740" s="20">
        <v>2550</v>
      </c>
    </row>
    <row r="741" spans="1:22" ht="16.8" x14ac:dyDescent="0.3">
      <c r="A741" s="20">
        <v>74.099999999999994</v>
      </c>
      <c r="B741" s="20">
        <v>81.02</v>
      </c>
      <c r="C741" s="20">
        <v>80</v>
      </c>
      <c r="D741" s="20">
        <v>-1.02</v>
      </c>
      <c r="E741" s="20">
        <v>0.72</v>
      </c>
      <c r="F741" s="20">
        <v>3304.49</v>
      </c>
      <c r="Q741" s="25">
        <v>74</v>
      </c>
      <c r="R741" s="20">
        <v>80</v>
      </c>
      <c r="S741" s="20">
        <v>75.62</v>
      </c>
      <c r="T741" s="20">
        <v>4.38</v>
      </c>
      <c r="U741" s="20">
        <v>-0.06</v>
      </c>
      <c r="V741" s="20">
        <v>2550</v>
      </c>
    </row>
    <row r="742" spans="1:22" ht="16.8" x14ac:dyDescent="0.3">
      <c r="A742" s="20">
        <v>74.2</v>
      </c>
      <c r="B742" s="20">
        <v>81.83</v>
      </c>
      <c r="C742" s="20">
        <v>80</v>
      </c>
      <c r="D742" s="20">
        <v>-1.83</v>
      </c>
      <c r="E742" s="20">
        <v>-0.81</v>
      </c>
      <c r="F742" s="20">
        <v>1773.65</v>
      </c>
      <c r="Q742" s="20">
        <v>74.099999999999994</v>
      </c>
      <c r="R742" s="20">
        <v>80</v>
      </c>
      <c r="S742" s="20">
        <v>75.709999999999994</v>
      </c>
      <c r="T742" s="20">
        <v>4.29</v>
      </c>
      <c r="U742" s="20">
        <v>-0.09</v>
      </c>
      <c r="V742" s="20">
        <v>2550</v>
      </c>
    </row>
    <row r="743" spans="1:22" ht="16.8" x14ac:dyDescent="0.3">
      <c r="A743" s="20">
        <v>74.3</v>
      </c>
      <c r="B743" s="20">
        <v>81.069999999999993</v>
      </c>
      <c r="C743" s="20">
        <v>80</v>
      </c>
      <c r="D743" s="20">
        <v>-1.07</v>
      </c>
      <c r="E743" s="20">
        <v>0.76</v>
      </c>
      <c r="F743" s="20">
        <v>3322.88</v>
      </c>
      <c r="Q743" s="25">
        <v>74.2</v>
      </c>
      <c r="R743" s="20">
        <v>80</v>
      </c>
      <c r="S743" s="20">
        <v>75.790000000000006</v>
      </c>
      <c r="T743" s="20">
        <v>4.21</v>
      </c>
      <c r="U743" s="20">
        <v>-0.08</v>
      </c>
      <c r="V743" s="20">
        <v>2550</v>
      </c>
    </row>
    <row r="744" spans="1:22" ht="16.8" x14ac:dyDescent="0.3">
      <c r="A744" s="20">
        <v>74.400000000000006</v>
      </c>
      <c r="B744" s="20">
        <v>81.88</v>
      </c>
      <c r="C744" s="20">
        <v>80</v>
      </c>
      <c r="D744" s="20">
        <v>-1.88</v>
      </c>
      <c r="E744" s="20">
        <v>-0.81</v>
      </c>
      <c r="F744" s="20">
        <v>1750.96</v>
      </c>
      <c r="Q744" s="25">
        <v>74.3</v>
      </c>
      <c r="R744" s="20">
        <v>80</v>
      </c>
      <c r="S744" s="20">
        <v>75.89</v>
      </c>
      <c r="T744" s="20">
        <v>4.1100000000000003</v>
      </c>
      <c r="U744" s="20">
        <v>-0.1</v>
      </c>
      <c r="V744" s="20">
        <v>2550</v>
      </c>
    </row>
    <row r="745" spans="1:22" ht="16.8" x14ac:dyDescent="0.3">
      <c r="A745" s="20">
        <v>74.5</v>
      </c>
      <c r="B745" s="20">
        <v>81.09</v>
      </c>
      <c r="C745" s="20">
        <v>80</v>
      </c>
      <c r="D745" s="20">
        <v>-1.0900000000000001</v>
      </c>
      <c r="E745" s="20">
        <v>0.79</v>
      </c>
      <c r="F745" s="20">
        <v>3343.01</v>
      </c>
      <c r="Q745" s="20">
        <v>74.400000000000006</v>
      </c>
      <c r="R745" s="20">
        <v>80</v>
      </c>
      <c r="S745" s="20">
        <v>75.98</v>
      </c>
      <c r="T745" s="20">
        <v>4.0199999999999996</v>
      </c>
      <c r="U745" s="20">
        <v>-0.09</v>
      </c>
      <c r="V745" s="20">
        <v>2550</v>
      </c>
    </row>
    <row r="746" spans="1:22" ht="16.8" x14ac:dyDescent="0.3">
      <c r="A746" s="20">
        <v>74.599999999999994</v>
      </c>
      <c r="B746" s="20">
        <v>81.97</v>
      </c>
      <c r="C746" s="20">
        <v>80</v>
      </c>
      <c r="D746" s="20">
        <v>-1.97</v>
      </c>
      <c r="E746" s="20">
        <v>-0.88</v>
      </c>
      <c r="F746" s="20">
        <v>1668.29</v>
      </c>
      <c r="Q746" s="25">
        <v>74.5</v>
      </c>
      <c r="R746" s="20">
        <v>80</v>
      </c>
      <c r="S746" s="20">
        <v>76.06</v>
      </c>
      <c r="T746" s="20">
        <v>3.94</v>
      </c>
      <c r="U746" s="20">
        <v>-0.08</v>
      </c>
      <c r="V746" s="20">
        <v>2550</v>
      </c>
    </row>
    <row r="747" spans="1:22" ht="16.8" x14ac:dyDescent="0.3">
      <c r="A747" s="20">
        <v>74.7</v>
      </c>
      <c r="B747" s="20">
        <v>81.17</v>
      </c>
      <c r="C747" s="20">
        <v>80</v>
      </c>
      <c r="D747" s="20">
        <v>-1.17</v>
      </c>
      <c r="E747" s="20">
        <v>0.8</v>
      </c>
      <c r="F747" s="20">
        <v>3327.19</v>
      </c>
      <c r="Q747" s="20">
        <v>74.599999999999994</v>
      </c>
      <c r="R747" s="20">
        <v>80</v>
      </c>
      <c r="S747" s="20">
        <v>76.12</v>
      </c>
      <c r="T747" s="20">
        <v>3.88</v>
      </c>
      <c r="U747" s="20">
        <v>-0.06</v>
      </c>
      <c r="V747" s="20">
        <v>2550</v>
      </c>
    </row>
    <row r="748" spans="1:22" ht="16.8" x14ac:dyDescent="0.3">
      <c r="A748" s="20">
        <v>74.8</v>
      </c>
      <c r="B748" s="20">
        <v>82.02</v>
      </c>
      <c r="C748" s="20">
        <v>80</v>
      </c>
      <c r="D748" s="20">
        <v>-2.02</v>
      </c>
      <c r="E748" s="20">
        <v>-0.85</v>
      </c>
      <c r="F748" s="20">
        <v>1671.15</v>
      </c>
      <c r="Q748" s="25">
        <v>74.7</v>
      </c>
      <c r="R748" s="20">
        <v>80</v>
      </c>
      <c r="S748" s="20">
        <v>76.209999999999994</v>
      </c>
      <c r="T748" s="20">
        <v>3.79</v>
      </c>
      <c r="U748" s="20">
        <v>-0.09</v>
      </c>
      <c r="V748" s="20">
        <v>2550</v>
      </c>
    </row>
    <row r="749" spans="1:22" ht="16.8" x14ac:dyDescent="0.3">
      <c r="A749" s="20">
        <v>74.900000000000006</v>
      </c>
      <c r="B749" s="20">
        <v>81.23</v>
      </c>
      <c r="C749" s="20">
        <v>80</v>
      </c>
      <c r="D749" s="20">
        <v>-1.23</v>
      </c>
      <c r="E749" s="20">
        <v>0.79</v>
      </c>
      <c r="F749" s="20">
        <v>3290.51</v>
      </c>
      <c r="Q749" s="25">
        <v>74.8</v>
      </c>
      <c r="R749" s="20">
        <v>80</v>
      </c>
      <c r="S749" s="20">
        <v>76.31</v>
      </c>
      <c r="T749" s="20">
        <v>3.69</v>
      </c>
      <c r="U749" s="20">
        <v>-0.1</v>
      </c>
      <c r="V749" s="20">
        <v>2550</v>
      </c>
    </row>
    <row r="750" spans="1:22" ht="16.8" x14ac:dyDescent="0.3">
      <c r="A750" s="20">
        <v>75</v>
      </c>
      <c r="B750" s="20">
        <v>82.05</v>
      </c>
      <c r="C750" s="20">
        <v>80</v>
      </c>
      <c r="D750" s="20">
        <v>-2.0499999999999998</v>
      </c>
      <c r="E750" s="20">
        <v>-0.82</v>
      </c>
      <c r="F750" s="20">
        <v>1688.18</v>
      </c>
      <c r="Q750" s="20">
        <v>74.900000000000006</v>
      </c>
      <c r="R750" s="20">
        <v>80</v>
      </c>
      <c r="S750" s="20">
        <v>76.34</v>
      </c>
      <c r="T750" s="20">
        <v>3.66</v>
      </c>
      <c r="U750" s="20">
        <v>-0.03</v>
      </c>
      <c r="V750" s="20">
        <v>2550</v>
      </c>
    </row>
    <row r="751" spans="1:22" ht="16.8" x14ac:dyDescent="0.3">
      <c r="A751" s="20">
        <v>75.099999999999994</v>
      </c>
      <c r="B751" s="20">
        <v>81.27</v>
      </c>
      <c r="C751" s="20">
        <v>80</v>
      </c>
      <c r="D751" s="20">
        <v>-1.27</v>
      </c>
      <c r="E751" s="20">
        <v>0.78</v>
      </c>
      <c r="F751" s="20">
        <v>3270.23</v>
      </c>
      <c r="Q751" s="25">
        <v>75</v>
      </c>
      <c r="R751" s="20">
        <v>80</v>
      </c>
      <c r="S751" s="20">
        <v>76.44</v>
      </c>
      <c r="T751" s="20">
        <v>3.56</v>
      </c>
      <c r="U751" s="20">
        <v>-0.1</v>
      </c>
      <c r="V751" s="20">
        <v>2550</v>
      </c>
    </row>
    <row r="752" spans="1:22" ht="16.8" x14ac:dyDescent="0.3">
      <c r="A752" s="20">
        <v>75.2</v>
      </c>
      <c r="B752" s="20">
        <v>82.07</v>
      </c>
      <c r="C752" s="20">
        <v>80</v>
      </c>
      <c r="D752" s="20">
        <v>-2.0699999999999998</v>
      </c>
      <c r="E752" s="20">
        <v>-0.8</v>
      </c>
      <c r="F752" s="20">
        <v>1688.88</v>
      </c>
      <c r="Q752" s="20">
        <v>75.099999999999994</v>
      </c>
      <c r="R752" s="20">
        <v>80</v>
      </c>
      <c r="S752" s="20">
        <v>76.489999999999995</v>
      </c>
      <c r="T752" s="20">
        <v>3.51</v>
      </c>
      <c r="U752" s="20">
        <v>-0.05</v>
      </c>
      <c r="V752" s="20">
        <v>2550</v>
      </c>
    </row>
    <row r="753" spans="1:22" ht="16.8" x14ac:dyDescent="0.3">
      <c r="A753" s="20">
        <v>75.3</v>
      </c>
      <c r="B753" s="20">
        <v>81.319999999999993</v>
      </c>
      <c r="C753" s="20">
        <v>80</v>
      </c>
      <c r="D753" s="20">
        <v>-1.32</v>
      </c>
      <c r="E753" s="20">
        <v>0.76</v>
      </c>
      <c r="F753" s="20">
        <v>3230.07</v>
      </c>
      <c r="Q753" s="25">
        <v>75.2</v>
      </c>
      <c r="R753" s="20">
        <v>80</v>
      </c>
      <c r="S753" s="20">
        <v>76.599999999999994</v>
      </c>
      <c r="T753" s="20">
        <v>3.4</v>
      </c>
      <c r="U753" s="20">
        <v>-0.11</v>
      </c>
      <c r="V753" s="20">
        <v>2550</v>
      </c>
    </row>
    <row r="754" spans="1:22" ht="16.8" x14ac:dyDescent="0.3">
      <c r="A754" s="20">
        <v>75.400000000000006</v>
      </c>
      <c r="B754" s="20">
        <v>82.12</v>
      </c>
      <c r="C754" s="20">
        <v>80</v>
      </c>
      <c r="D754" s="20">
        <v>-2.12</v>
      </c>
      <c r="E754" s="20">
        <v>-0.81</v>
      </c>
      <c r="F754" s="20">
        <v>1661.76</v>
      </c>
      <c r="Q754" s="25">
        <v>75.3</v>
      </c>
      <c r="R754" s="20">
        <v>80</v>
      </c>
      <c r="S754" s="20">
        <v>76.680000000000007</v>
      </c>
      <c r="T754" s="20">
        <v>3.32</v>
      </c>
      <c r="U754" s="20">
        <v>-7.0000000000000007E-2</v>
      </c>
      <c r="V754" s="20">
        <v>2550</v>
      </c>
    </row>
    <row r="755" spans="1:22" ht="16.8" x14ac:dyDescent="0.3">
      <c r="A755" s="20">
        <v>75.5</v>
      </c>
      <c r="B755" s="20">
        <v>81.319999999999993</v>
      </c>
      <c r="C755" s="20">
        <v>80</v>
      </c>
      <c r="D755" s="20">
        <v>-1.32</v>
      </c>
      <c r="E755" s="20">
        <v>0.81</v>
      </c>
      <c r="F755" s="20">
        <v>3266.87</v>
      </c>
      <c r="Q755" s="20">
        <v>75.400000000000006</v>
      </c>
      <c r="R755" s="20">
        <v>80</v>
      </c>
      <c r="S755" s="20">
        <v>76.69</v>
      </c>
      <c r="T755" s="20">
        <v>3.31</v>
      </c>
      <c r="U755" s="20">
        <v>-0.01</v>
      </c>
      <c r="V755" s="20">
        <v>2550</v>
      </c>
    </row>
    <row r="756" spans="1:22" ht="16.8" x14ac:dyDescent="0.3">
      <c r="A756" s="20">
        <v>75.599999999999994</v>
      </c>
      <c r="B756" s="20">
        <v>82.17</v>
      </c>
      <c r="C756" s="20">
        <v>80</v>
      </c>
      <c r="D756" s="20">
        <v>-2.17</v>
      </c>
      <c r="E756" s="20">
        <v>-0.85</v>
      </c>
      <c r="F756" s="20">
        <v>1603.06</v>
      </c>
      <c r="Q756" s="25">
        <v>75.5</v>
      </c>
      <c r="R756" s="20">
        <v>80</v>
      </c>
      <c r="S756" s="20">
        <v>76.83</v>
      </c>
      <c r="T756" s="20">
        <v>3.17</v>
      </c>
      <c r="U756" s="20">
        <v>-0.14000000000000001</v>
      </c>
      <c r="V756" s="20">
        <v>2550</v>
      </c>
    </row>
    <row r="757" spans="1:22" ht="16.8" x14ac:dyDescent="0.3">
      <c r="A757" s="20">
        <v>75.7</v>
      </c>
      <c r="B757" s="20">
        <v>81.400000000000006</v>
      </c>
      <c r="C757" s="20">
        <v>80</v>
      </c>
      <c r="D757" s="20">
        <v>-1.4</v>
      </c>
      <c r="E757" s="20">
        <v>0.77</v>
      </c>
      <c r="F757" s="20">
        <v>3208.85</v>
      </c>
      <c r="Q757" s="20">
        <v>75.599999999999994</v>
      </c>
      <c r="R757" s="20">
        <v>80</v>
      </c>
      <c r="S757" s="20">
        <v>76.89</v>
      </c>
      <c r="T757" s="20">
        <v>3.11</v>
      </c>
      <c r="U757" s="20">
        <v>-0.06</v>
      </c>
      <c r="V757" s="20">
        <v>2550</v>
      </c>
    </row>
    <row r="758" spans="1:22" ht="16.8" x14ac:dyDescent="0.3">
      <c r="A758" s="20">
        <v>75.8</v>
      </c>
      <c r="B758" s="20">
        <v>82.22</v>
      </c>
      <c r="C758" s="20">
        <v>80</v>
      </c>
      <c r="D758" s="20">
        <v>-2.2200000000000002</v>
      </c>
      <c r="E758" s="20">
        <v>-0.82</v>
      </c>
      <c r="F758" s="20">
        <v>1612.61</v>
      </c>
      <c r="Q758" s="25">
        <v>75.7</v>
      </c>
      <c r="R758" s="20">
        <v>80</v>
      </c>
      <c r="S758" s="20">
        <v>76.959999999999994</v>
      </c>
      <c r="T758" s="20">
        <v>3.04</v>
      </c>
      <c r="U758" s="20">
        <v>-0.06</v>
      </c>
      <c r="V758" s="20">
        <v>2550</v>
      </c>
    </row>
    <row r="759" spans="1:22" ht="16.8" x14ac:dyDescent="0.3">
      <c r="A759" s="20">
        <v>75.900000000000006</v>
      </c>
      <c r="B759" s="20">
        <v>81.430000000000007</v>
      </c>
      <c r="C759" s="20">
        <v>80</v>
      </c>
      <c r="D759" s="20">
        <v>-1.43</v>
      </c>
      <c r="E759" s="20">
        <v>0.79</v>
      </c>
      <c r="F759" s="20">
        <v>3202.16</v>
      </c>
      <c r="Q759" s="25">
        <v>75.8</v>
      </c>
      <c r="R759" s="20">
        <v>80</v>
      </c>
      <c r="S759" s="20">
        <v>77.02</v>
      </c>
      <c r="T759" s="20">
        <v>2.98</v>
      </c>
      <c r="U759" s="20">
        <v>-7.0000000000000007E-2</v>
      </c>
      <c r="V759" s="20">
        <v>2579.8000000000002</v>
      </c>
    </row>
    <row r="760" spans="1:22" ht="16.8" x14ac:dyDescent="0.3">
      <c r="A760" s="20">
        <v>76</v>
      </c>
      <c r="B760" s="20">
        <v>82.26</v>
      </c>
      <c r="C760" s="20">
        <v>80</v>
      </c>
      <c r="D760" s="20">
        <v>-2.2599999999999998</v>
      </c>
      <c r="E760" s="20">
        <v>-0.83</v>
      </c>
      <c r="F760" s="20">
        <v>1586.1</v>
      </c>
      <c r="Q760" s="20">
        <v>75.900000000000006</v>
      </c>
      <c r="R760" s="20">
        <v>80</v>
      </c>
      <c r="S760" s="20">
        <v>77.12</v>
      </c>
      <c r="T760" s="20">
        <v>2.88</v>
      </c>
      <c r="U760" s="20">
        <v>-0.1</v>
      </c>
      <c r="V760" s="20">
        <v>2692.82</v>
      </c>
    </row>
    <row r="761" spans="1:22" ht="16.8" x14ac:dyDescent="0.3">
      <c r="A761" s="20">
        <v>76.099999999999994</v>
      </c>
      <c r="B761" s="20">
        <v>81.459999999999994</v>
      </c>
      <c r="C761" s="20">
        <v>80</v>
      </c>
      <c r="D761" s="20">
        <v>-1.46</v>
      </c>
      <c r="E761" s="20">
        <v>0.8</v>
      </c>
      <c r="F761" s="20">
        <v>3200.27</v>
      </c>
      <c r="Q761" s="25">
        <v>76</v>
      </c>
      <c r="R761" s="20">
        <v>80</v>
      </c>
      <c r="S761" s="20">
        <v>77.16</v>
      </c>
      <c r="T761" s="20">
        <v>2.84</v>
      </c>
      <c r="U761" s="20">
        <v>-0.04</v>
      </c>
      <c r="V761" s="20">
        <v>2630.6</v>
      </c>
    </row>
    <row r="762" spans="1:22" ht="16.8" x14ac:dyDescent="0.3">
      <c r="A762" s="20">
        <v>76.2</v>
      </c>
      <c r="B762" s="20">
        <v>82.26</v>
      </c>
      <c r="C762" s="20">
        <v>80</v>
      </c>
      <c r="D762" s="20">
        <v>-2.2599999999999998</v>
      </c>
      <c r="E762" s="20">
        <v>-0.8</v>
      </c>
      <c r="F762" s="20">
        <v>1600.13</v>
      </c>
      <c r="Q762" s="20">
        <v>76.099999999999994</v>
      </c>
      <c r="R762" s="20">
        <v>80</v>
      </c>
      <c r="S762" s="20">
        <v>77.27</v>
      </c>
      <c r="T762" s="20">
        <v>2.73</v>
      </c>
      <c r="U762" s="20">
        <v>-0.11</v>
      </c>
      <c r="V762" s="20">
        <v>2767.12</v>
      </c>
    </row>
    <row r="763" spans="1:22" ht="16.8" x14ac:dyDescent="0.3">
      <c r="A763" s="20">
        <v>76.3</v>
      </c>
      <c r="B763" s="20">
        <v>81.41</v>
      </c>
      <c r="C763" s="20">
        <v>80</v>
      </c>
      <c r="D763" s="20">
        <v>-1.41</v>
      </c>
      <c r="E763" s="20">
        <v>0.85</v>
      </c>
      <c r="F763" s="20">
        <v>3241.16</v>
      </c>
      <c r="Q763" s="25">
        <v>76.2</v>
      </c>
      <c r="R763" s="20">
        <v>80</v>
      </c>
      <c r="S763" s="20">
        <v>77.33</v>
      </c>
      <c r="T763" s="20">
        <v>2.67</v>
      </c>
      <c r="U763" s="20">
        <v>-0.06</v>
      </c>
      <c r="V763" s="20">
        <v>2674.43</v>
      </c>
    </row>
    <row r="764" spans="1:22" ht="16.8" x14ac:dyDescent="0.3">
      <c r="A764" s="20">
        <v>76.400000000000006</v>
      </c>
      <c r="B764" s="20">
        <v>82.29</v>
      </c>
      <c r="C764" s="20">
        <v>80</v>
      </c>
      <c r="D764" s="20">
        <v>-2.29</v>
      </c>
      <c r="E764" s="20">
        <v>-0.88</v>
      </c>
      <c r="F764" s="20">
        <v>1514.34</v>
      </c>
      <c r="Q764" s="25">
        <v>76.3</v>
      </c>
      <c r="R764" s="20">
        <v>80</v>
      </c>
      <c r="S764" s="20">
        <v>77.41</v>
      </c>
      <c r="T764" s="20">
        <v>2.59</v>
      </c>
      <c r="U764" s="20">
        <v>-0.08</v>
      </c>
      <c r="V764" s="20">
        <v>2723.59</v>
      </c>
    </row>
    <row r="765" spans="1:22" ht="16.8" x14ac:dyDescent="0.3">
      <c r="A765" s="20">
        <v>76.5</v>
      </c>
      <c r="B765" s="20">
        <v>81.430000000000007</v>
      </c>
      <c r="C765" s="20">
        <v>80</v>
      </c>
      <c r="D765" s="20">
        <v>-1.43</v>
      </c>
      <c r="E765" s="20">
        <v>0.86</v>
      </c>
      <c r="F765" s="20">
        <v>3233.41</v>
      </c>
      <c r="Q765" s="20">
        <v>76.400000000000006</v>
      </c>
      <c r="R765" s="20">
        <v>80</v>
      </c>
      <c r="S765" s="20">
        <v>77.45</v>
      </c>
      <c r="T765" s="20">
        <v>2.5499999999999998</v>
      </c>
      <c r="U765" s="20">
        <v>-0.04</v>
      </c>
      <c r="V765" s="20">
        <v>2645.63</v>
      </c>
    </row>
    <row r="766" spans="1:22" ht="16.8" x14ac:dyDescent="0.3">
      <c r="A766" s="20">
        <v>76.599999999999994</v>
      </c>
      <c r="B766" s="20">
        <v>82.29</v>
      </c>
      <c r="C766" s="20">
        <v>80</v>
      </c>
      <c r="D766" s="20">
        <v>-2.29</v>
      </c>
      <c r="E766" s="20">
        <v>-0.86</v>
      </c>
      <c r="F766" s="20">
        <v>1521.05</v>
      </c>
      <c r="Q766" s="25">
        <v>76.5</v>
      </c>
      <c r="R766" s="20">
        <v>80</v>
      </c>
      <c r="S766" s="20">
        <v>77.540000000000006</v>
      </c>
      <c r="T766" s="20">
        <v>2.46</v>
      </c>
      <c r="U766" s="20">
        <v>-0.1</v>
      </c>
      <c r="V766" s="20">
        <v>2762.56</v>
      </c>
    </row>
    <row r="767" spans="1:22" ht="16.8" x14ac:dyDescent="0.3">
      <c r="A767" s="20">
        <v>76.7</v>
      </c>
      <c r="B767" s="20">
        <v>81.430000000000007</v>
      </c>
      <c r="C767" s="20">
        <v>80</v>
      </c>
      <c r="D767" s="20">
        <v>-1.43</v>
      </c>
      <c r="E767" s="20">
        <v>0.86</v>
      </c>
      <c r="F767" s="20">
        <v>3226.23</v>
      </c>
      <c r="Q767" s="25">
        <v>76.599999999999994</v>
      </c>
      <c r="R767" s="20">
        <v>80</v>
      </c>
      <c r="S767" s="20">
        <v>77.63</v>
      </c>
      <c r="T767" s="20">
        <v>2.37</v>
      </c>
      <c r="U767" s="20">
        <v>-0.08</v>
      </c>
      <c r="V767" s="20">
        <v>2748.86</v>
      </c>
    </row>
    <row r="768" spans="1:22" ht="16.8" x14ac:dyDescent="0.3">
      <c r="A768" s="20">
        <v>76.8</v>
      </c>
      <c r="B768" s="20">
        <v>82.29</v>
      </c>
      <c r="C768" s="20">
        <v>80</v>
      </c>
      <c r="D768" s="20">
        <v>-2.29</v>
      </c>
      <c r="E768" s="20">
        <v>-0.87</v>
      </c>
      <c r="F768" s="20">
        <v>1501.51</v>
      </c>
      <c r="Q768" s="20">
        <v>76.7</v>
      </c>
      <c r="R768" s="20">
        <v>80</v>
      </c>
      <c r="S768" s="20">
        <v>77.66</v>
      </c>
      <c r="T768" s="20">
        <v>2.34</v>
      </c>
      <c r="U768" s="20">
        <v>-0.04</v>
      </c>
      <c r="V768" s="20">
        <v>2647.34</v>
      </c>
    </row>
    <row r="769" spans="1:22" ht="16.8" x14ac:dyDescent="0.3">
      <c r="A769" s="20">
        <v>76.900000000000006</v>
      </c>
      <c r="B769" s="20">
        <v>81.42</v>
      </c>
      <c r="C769" s="20">
        <v>80</v>
      </c>
      <c r="D769" s="20">
        <v>-1.42</v>
      </c>
      <c r="E769" s="20">
        <v>0.87</v>
      </c>
      <c r="F769" s="20">
        <v>3227.08</v>
      </c>
      <c r="Q769" s="25">
        <v>76.8</v>
      </c>
      <c r="R769" s="20">
        <v>80</v>
      </c>
      <c r="S769" s="20">
        <v>77.75</v>
      </c>
      <c r="T769" s="20">
        <v>2.25</v>
      </c>
      <c r="U769" s="20">
        <v>-0.08</v>
      </c>
      <c r="V769" s="20">
        <v>2764.39</v>
      </c>
    </row>
    <row r="770" spans="1:22" ht="16.8" x14ac:dyDescent="0.3">
      <c r="A770" s="20">
        <v>77</v>
      </c>
      <c r="B770" s="20">
        <v>82.3</v>
      </c>
      <c r="C770" s="20">
        <v>80</v>
      </c>
      <c r="D770" s="20">
        <v>-2.2999999999999998</v>
      </c>
      <c r="E770" s="20">
        <v>-0.88</v>
      </c>
      <c r="F770" s="20">
        <v>1478.33</v>
      </c>
      <c r="Q770" s="20">
        <v>76.900000000000006</v>
      </c>
      <c r="R770" s="20">
        <v>80</v>
      </c>
      <c r="S770" s="20">
        <v>77.849999999999994</v>
      </c>
      <c r="T770" s="20">
        <v>2.15</v>
      </c>
      <c r="U770" s="20">
        <v>-0.1</v>
      </c>
      <c r="V770" s="20">
        <v>2781.41</v>
      </c>
    </row>
    <row r="771" spans="1:22" ht="16.8" x14ac:dyDescent="0.3">
      <c r="A771" s="20">
        <v>77.099999999999994</v>
      </c>
      <c r="B771" s="20">
        <v>81.44</v>
      </c>
      <c r="C771" s="20">
        <v>80</v>
      </c>
      <c r="D771" s="20">
        <v>-1.44</v>
      </c>
      <c r="E771" s="20">
        <v>0.85</v>
      </c>
      <c r="F771" s="20">
        <v>3193</v>
      </c>
      <c r="Q771" s="25">
        <v>77</v>
      </c>
      <c r="R771" s="20">
        <v>80</v>
      </c>
      <c r="S771" s="20">
        <v>77.95</v>
      </c>
      <c r="T771" s="20">
        <v>2.0499999999999998</v>
      </c>
      <c r="U771" s="20">
        <v>-0.1</v>
      </c>
      <c r="V771" s="20">
        <v>2763.45</v>
      </c>
    </row>
    <row r="772" spans="1:22" ht="16.8" x14ac:dyDescent="0.3">
      <c r="A772" s="20">
        <v>77.2</v>
      </c>
      <c r="B772" s="20">
        <v>82.29</v>
      </c>
      <c r="C772" s="20">
        <v>80</v>
      </c>
      <c r="D772" s="20">
        <v>-2.29</v>
      </c>
      <c r="E772" s="20">
        <v>-0.84</v>
      </c>
      <c r="F772" s="20">
        <v>1501.73</v>
      </c>
      <c r="Q772" s="25">
        <v>77.099999999999994</v>
      </c>
      <c r="R772" s="20">
        <v>80</v>
      </c>
      <c r="S772" s="20">
        <v>78.02</v>
      </c>
      <c r="T772" s="20">
        <v>1.98</v>
      </c>
      <c r="U772" s="20">
        <v>-7.0000000000000007E-2</v>
      </c>
      <c r="V772" s="20">
        <v>2713.13</v>
      </c>
    </row>
    <row r="773" spans="1:22" ht="16.8" x14ac:dyDescent="0.3">
      <c r="A773" s="20">
        <v>77.3</v>
      </c>
      <c r="B773" s="20">
        <v>81.42</v>
      </c>
      <c r="C773" s="20">
        <v>80</v>
      </c>
      <c r="D773" s="20">
        <v>-1.42</v>
      </c>
      <c r="E773" s="20">
        <v>0.87</v>
      </c>
      <c r="F773" s="20">
        <v>3196.69</v>
      </c>
      <c r="Q773" s="20">
        <v>77.2</v>
      </c>
      <c r="R773" s="20">
        <v>80</v>
      </c>
      <c r="S773" s="20">
        <v>78.099999999999994</v>
      </c>
      <c r="T773" s="20">
        <v>1.9</v>
      </c>
      <c r="U773" s="20">
        <v>-0.08</v>
      </c>
      <c r="V773" s="20">
        <v>2723.23</v>
      </c>
    </row>
    <row r="774" spans="1:22" ht="16.8" x14ac:dyDescent="0.3">
      <c r="A774" s="20">
        <v>77.400000000000006</v>
      </c>
      <c r="B774" s="20">
        <v>82.29</v>
      </c>
      <c r="C774" s="20">
        <v>80</v>
      </c>
      <c r="D774" s="20">
        <v>-2.29</v>
      </c>
      <c r="E774" s="20">
        <v>-0.87</v>
      </c>
      <c r="F774" s="20">
        <v>1459.61</v>
      </c>
      <c r="Q774" s="25">
        <v>77.3</v>
      </c>
      <c r="R774" s="20">
        <v>80</v>
      </c>
      <c r="S774" s="20">
        <v>78.14</v>
      </c>
      <c r="T774" s="20">
        <v>1.86</v>
      </c>
      <c r="U774" s="20">
        <v>-0.04</v>
      </c>
      <c r="V774" s="20">
        <v>2642.8</v>
      </c>
    </row>
    <row r="775" spans="1:22" ht="16.8" x14ac:dyDescent="0.3">
      <c r="A775" s="20">
        <v>77.5</v>
      </c>
      <c r="B775" s="20">
        <v>81.42</v>
      </c>
      <c r="C775" s="20">
        <v>80</v>
      </c>
      <c r="D775" s="20">
        <v>-1.42</v>
      </c>
      <c r="E775" s="20">
        <v>0.87</v>
      </c>
      <c r="F775" s="20">
        <v>3188.12</v>
      </c>
      <c r="Q775" s="20">
        <v>77.400000000000006</v>
      </c>
      <c r="R775" s="20">
        <v>80</v>
      </c>
      <c r="S775" s="20">
        <v>78.25</v>
      </c>
      <c r="T775" s="20">
        <v>1.75</v>
      </c>
      <c r="U775" s="20">
        <v>-0.11</v>
      </c>
      <c r="V775" s="20">
        <v>2767.08</v>
      </c>
    </row>
    <row r="776" spans="1:22" ht="16.8" x14ac:dyDescent="0.3">
      <c r="A776" s="20">
        <v>77.599999999999994</v>
      </c>
      <c r="B776" s="20">
        <v>82.26</v>
      </c>
      <c r="C776" s="20">
        <v>80</v>
      </c>
      <c r="D776" s="20">
        <v>-2.2599999999999998</v>
      </c>
      <c r="E776" s="20">
        <v>-0.84</v>
      </c>
      <c r="F776" s="20">
        <v>1486.68</v>
      </c>
      <c r="Q776" s="25">
        <v>77.5</v>
      </c>
      <c r="R776" s="20">
        <v>80</v>
      </c>
      <c r="S776" s="20">
        <v>78.37</v>
      </c>
      <c r="T776" s="20">
        <v>1.63</v>
      </c>
      <c r="U776" s="20">
        <v>-0.12</v>
      </c>
      <c r="V776" s="20">
        <v>2794.95</v>
      </c>
    </row>
    <row r="777" spans="1:22" ht="16.8" x14ac:dyDescent="0.3">
      <c r="A777" s="20">
        <v>77.7</v>
      </c>
      <c r="B777" s="20">
        <v>81.41</v>
      </c>
      <c r="C777" s="20">
        <v>80</v>
      </c>
      <c r="D777" s="20">
        <v>-1.41</v>
      </c>
      <c r="E777" s="20">
        <v>0.85</v>
      </c>
      <c r="F777" s="20">
        <v>3160.58</v>
      </c>
      <c r="Q777" s="25">
        <v>77.599999999999994</v>
      </c>
      <c r="R777" s="20">
        <v>80</v>
      </c>
      <c r="S777" s="20">
        <v>78.430000000000007</v>
      </c>
      <c r="T777" s="20">
        <v>1.57</v>
      </c>
      <c r="U777" s="20">
        <v>-0.06</v>
      </c>
      <c r="V777" s="20">
        <v>2670.64</v>
      </c>
    </row>
    <row r="778" spans="1:22" ht="16.8" x14ac:dyDescent="0.3">
      <c r="A778" s="20">
        <v>77.8</v>
      </c>
      <c r="B778" s="20">
        <v>82.24</v>
      </c>
      <c r="C778" s="20">
        <v>80</v>
      </c>
      <c r="D778" s="20">
        <v>-2.2400000000000002</v>
      </c>
      <c r="E778" s="20">
        <v>-0.83</v>
      </c>
      <c r="F778" s="20">
        <v>1486.18</v>
      </c>
      <c r="Q778" s="20">
        <v>77.7</v>
      </c>
      <c r="R778" s="20">
        <v>80</v>
      </c>
      <c r="S778" s="20">
        <v>78.540000000000006</v>
      </c>
      <c r="T778" s="20">
        <v>1.46</v>
      </c>
      <c r="U778" s="20">
        <v>-0.11</v>
      </c>
      <c r="V778" s="20">
        <v>2767.12</v>
      </c>
    </row>
    <row r="779" spans="1:22" ht="16.8" x14ac:dyDescent="0.3">
      <c r="A779" s="20">
        <v>77.900000000000006</v>
      </c>
      <c r="B779" s="20">
        <v>81.42</v>
      </c>
      <c r="C779" s="20">
        <v>80</v>
      </c>
      <c r="D779" s="20">
        <v>-1.42</v>
      </c>
      <c r="E779" s="20">
        <v>0.83</v>
      </c>
      <c r="F779" s="20">
        <v>3126.64</v>
      </c>
      <c r="Q779" s="25">
        <v>77.8</v>
      </c>
      <c r="R779" s="20">
        <v>80</v>
      </c>
      <c r="S779" s="20">
        <v>78.62</v>
      </c>
      <c r="T779" s="20">
        <v>1.38</v>
      </c>
      <c r="U779" s="20">
        <v>-0.08</v>
      </c>
      <c r="V779" s="20">
        <v>2723.83</v>
      </c>
    </row>
    <row r="780" spans="1:22" ht="16.8" x14ac:dyDescent="0.3">
      <c r="A780" s="20">
        <v>78</v>
      </c>
      <c r="B780" s="20">
        <v>82.21</v>
      </c>
      <c r="C780" s="20">
        <v>80</v>
      </c>
      <c r="D780" s="20">
        <v>-2.21</v>
      </c>
      <c r="E780" s="20">
        <v>-0.79</v>
      </c>
      <c r="F780" s="20">
        <v>1513.44</v>
      </c>
      <c r="Q780" s="20">
        <v>77.900000000000006</v>
      </c>
      <c r="R780" s="20">
        <v>80</v>
      </c>
      <c r="S780" s="20">
        <v>78.709999999999994</v>
      </c>
      <c r="T780" s="20">
        <v>1.29</v>
      </c>
      <c r="U780" s="20">
        <v>-0.08</v>
      </c>
      <c r="V780" s="20">
        <v>2723.87</v>
      </c>
    </row>
    <row r="781" spans="1:22" ht="16.8" x14ac:dyDescent="0.3">
      <c r="A781" s="20">
        <v>78.099999999999994</v>
      </c>
      <c r="B781" s="20">
        <v>81.38</v>
      </c>
      <c r="C781" s="20">
        <v>80</v>
      </c>
      <c r="D781" s="20">
        <v>-1.38</v>
      </c>
      <c r="E781" s="20">
        <v>0.83</v>
      </c>
      <c r="F781" s="20">
        <v>3121.12</v>
      </c>
      <c r="Q781" s="25">
        <v>78</v>
      </c>
      <c r="R781" s="20">
        <v>80</v>
      </c>
      <c r="S781" s="20">
        <v>78.78</v>
      </c>
      <c r="T781" s="20">
        <v>1.22</v>
      </c>
      <c r="U781" s="20">
        <v>-7.0000000000000007E-2</v>
      </c>
      <c r="V781" s="20">
        <v>2703.41</v>
      </c>
    </row>
    <row r="782" spans="1:22" ht="16.8" x14ac:dyDescent="0.3">
      <c r="A782" s="20">
        <v>78.2</v>
      </c>
      <c r="B782" s="20">
        <v>82.16</v>
      </c>
      <c r="C782" s="20">
        <v>80</v>
      </c>
      <c r="D782" s="20">
        <v>-2.16</v>
      </c>
      <c r="E782" s="20">
        <v>-0.78</v>
      </c>
      <c r="F782" s="20">
        <v>1525.51</v>
      </c>
      <c r="Q782" s="25">
        <v>78.099999999999994</v>
      </c>
      <c r="R782" s="20">
        <v>80</v>
      </c>
      <c r="S782" s="20">
        <v>78.930000000000007</v>
      </c>
      <c r="T782" s="20">
        <v>1.07</v>
      </c>
      <c r="U782" s="20">
        <v>-0.15</v>
      </c>
      <c r="V782" s="20">
        <v>2835.8</v>
      </c>
    </row>
    <row r="783" spans="1:22" ht="16.8" x14ac:dyDescent="0.3">
      <c r="A783" s="20">
        <v>78.3</v>
      </c>
      <c r="B783" s="20">
        <v>81.290000000000006</v>
      </c>
      <c r="C783" s="20">
        <v>80</v>
      </c>
      <c r="D783" s="20">
        <v>-1.29</v>
      </c>
      <c r="E783" s="20">
        <v>0.87</v>
      </c>
      <c r="F783" s="20">
        <v>3171.16</v>
      </c>
      <c r="Q783" s="20">
        <v>78.2</v>
      </c>
      <c r="R783" s="20">
        <v>80</v>
      </c>
      <c r="S783" s="20">
        <v>78.989999999999995</v>
      </c>
      <c r="T783" s="20">
        <v>1.01</v>
      </c>
      <c r="U783" s="20">
        <v>-0.06</v>
      </c>
      <c r="V783" s="20">
        <v>2698.26</v>
      </c>
    </row>
    <row r="784" spans="1:22" ht="16.8" x14ac:dyDescent="0.3">
      <c r="A784" s="20">
        <v>78.400000000000006</v>
      </c>
      <c r="B784" s="20">
        <v>82.11</v>
      </c>
      <c r="C784" s="20">
        <v>80</v>
      </c>
      <c r="D784" s="20">
        <v>-2.11</v>
      </c>
      <c r="E784" s="20">
        <v>-0.83</v>
      </c>
      <c r="F784" s="20">
        <v>1479.63</v>
      </c>
      <c r="Q784" s="25">
        <v>78.3</v>
      </c>
      <c r="R784" s="20">
        <v>80</v>
      </c>
      <c r="S784" s="20">
        <v>79.09</v>
      </c>
      <c r="T784" s="20">
        <v>0.91</v>
      </c>
      <c r="U784" s="20">
        <v>-0.1</v>
      </c>
      <c r="V784" s="20">
        <v>2774.84</v>
      </c>
    </row>
    <row r="785" spans="1:22" ht="16.8" x14ac:dyDescent="0.3">
      <c r="A785" s="20">
        <v>78.5</v>
      </c>
      <c r="B785" s="20">
        <v>81.28</v>
      </c>
      <c r="C785" s="20">
        <v>80</v>
      </c>
      <c r="D785" s="20">
        <v>-1.28</v>
      </c>
      <c r="E785" s="20">
        <v>0.83</v>
      </c>
      <c r="F785" s="20">
        <v>3125.54</v>
      </c>
      <c r="Q785" s="20">
        <v>78.400000000000006</v>
      </c>
      <c r="R785" s="20">
        <v>80</v>
      </c>
      <c r="S785" s="20">
        <v>79.180000000000007</v>
      </c>
      <c r="T785" s="20">
        <v>0.82</v>
      </c>
      <c r="U785" s="20">
        <v>-0.09</v>
      </c>
      <c r="V785" s="20">
        <v>2763.18</v>
      </c>
    </row>
    <row r="786" spans="1:22" ht="16.8" x14ac:dyDescent="0.3">
      <c r="A786" s="20">
        <v>78.599999999999994</v>
      </c>
      <c r="B786" s="20">
        <v>82.1</v>
      </c>
      <c r="C786" s="20">
        <v>80</v>
      </c>
      <c r="D786" s="20">
        <v>-2.1</v>
      </c>
      <c r="E786" s="20">
        <v>-0.83</v>
      </c>
      <c r="F786" s="20">
        <v>1470.55</v>
      </c>
      <c r="Q786" s="25">
        <v>78.5</v>
      </c>
      <c r="R786" s="20">
        <v>80</v>
      </c>
      <c r="S786" s="20">
        <v>79.239999999999995</v>
      </c>
      <c r="T786" s="20">
        <v>0.76</v>
      </c>
      <c r="U786" s="20">
        <v>-0.05</v>
      </c>
      <c r="V786" s="20">
        <v>2692.1</v>
      </c>
    </row>
    <row r="787" spans="1:22" ht="16.8" x14ac:dyDescent="0.3">
      <c r="A787" s="20">
        <v>78.7</v>
      </c>
      <c r="B787" s="20">
        <v>81.25</v>
      </c>
      <c r="C787" s="20">
        <v>80</v>
      </c>
      <c r="D787" s="20">
        <v>-1.25</v>
      </c>
      <c r="E787" s="20">
        <v>0.85</v>
      </c>
      <c r="F787" s="20">
        <v>3138.34</v>
      </c>
      <c r="Q787" s="25">
        <v>78.599999999999994</v>
      </c>
      <c r="R787" s="20">
        <v>80</v>
      </c>
      <c r="S787" s="20">
        <v>79.349999999999994</v>
      </c>
      <c r="T787" s="20">
        <v>0.65</v>
      </c>
      <c r="U787" s="20">
        <v>-0.11</v>
      </c>
      <c r="V787" s="20">
        <v>2838.03</v>
      </c>
    </row>
    <row r="788" spans="1:22" ht="16.8" x14ac:dyDescent="0.3">
      <c r="A788" s="20">
        <v>78.8</v>
      </c>
      <c r="B788" s="20">
        <v>82.06</v>
      </c>
      <c r="C788" s="20">
        <v>80</v>
      </c>
      <c r="D788" s="20">
        <v>-2.06</v>
      </c>
      <c r="E788" s="20">
        <v>-0.81</v>
      </c>
      <c r="F788" s="20">
        <v>1478.25</v>
      </c>
      <c r="Q788" s="20">
        <v>78.7</v>
      </c>
      <c r="R788" s="20">
        <v>80</v>
      </c>
      <c r="S788" s="20">
        <v>79.430000000000007</v>
      </c>
      <c r="T788" s="20">
        <v>0.56999999999999995</v>
      </c>
      <c r="U788" s="20">
        <v>-0.08</v>
      </c>
      <c r="V788" s="20">
        <v>2800.87</v>
      </c>
    </row>
    <row r="789" spans="1:22" ht="16.8" x14ac:dyDescent="0.3">
      <c r="A789" s="20">
        <v>78.900000000000006</v>
      </c>
      <c r="B789" s="20">
        <v>81.2</v>
      </c>
      <c r="C789" s="20">
        <v>80</v>
      </c>
      <c r="D789" s="20">
        <v>-1.2</v>
      </c>
      <c r="E789" s="20">
        <v>0.87</v>
      </c>
      <c r="F789" s="20">
        <v>3148.35</v>
      </c>
      <c r="Q789" s="25">
        <v>78.8</v>
      </c>
      <c r="R789" s="20">
        <v>80</v>
      </c>
      <c r="S789" s="20">
        <v>79.489999999999995</v>
      </c>
      <c r="T789" s="20">
        <v>0.51</v>
      </c>
      <c r="U789" s="20">
        <v>-0.06</v>
      </c>
      <c r="V789" s="20">
        <v>2745.55</v>
      </c>
    </row>
    <row r="790" spans="1:22" ht="16.8" x14ac:dyDescent="0.3">
      <c r="A790" s="20">
        <v>79</v>
      </c>
      <c r="B790" s="20">
        <v>82.03</v>
      </c>
      <c r="C790" s="20">
        <v>80</v>
      </c>
      <c r="D790" s="20">
        <v>-2.0299999999999998</v>
      </c>
      <c r="E790" s="20">
        <v>-0.83</v>
      </c>
      <c r="F790" s="20">
        <v>1460</v>
      </c>
      <c r="Q790" s="20">
        <v>78.900000000000006</v>
      </c>
      <c r="R790" s="20">
        <v>80</v>
      </c>
      <c r="S790" s="20">
        <v>79.62</v>
      </c>
      <c r="T790" s="20">
        <v>0.38</v>
      </c>
      <c r="U790" s="20">
        <v>-0.12</v>
      </c>
      <c r="V790" s="20">
        <v>2832.78</v>
      </c>
    </row>
    <row r="791" spans="1:22" ht="16.8" x14ac:dyDescent="0.3">
      <c r="A791" s="20">
        <v>79.099999999999994</v>
      </c>
      <c r="B791" s="20">
        <v>81.180000000000007</v>
      </c>
      <c r="C791" s="20">
        <v>80</v>
      </c>
      <c r="D791" s="20">
        <v>-1.18</v>
      </c>
      <c r="E791" s="20">
        <v>0.85</v>
      </c>
      <c r="F791" s="20">
        <v>3122.95</v>
      </c>
      <c r="Q791" s="25">
        <v>79</v>
      </c>
      <c r="R791" s="20">
        <v>80</v>
      </c>
      <c r="S791" s="20">
        <v>79.72</v>
      </c>
      <c r="T791" s="20">
        <v>0.28000000000000003</v>
      </c>
      <c r="U791" s="20">
        <v>-0.1</v>
      </c>
      <c r="V791" s="20">
        <v>2774.1</v>
      </c>
    </row>
    <row r="792" spans="1:22" ht="16.8" x14ac:dyDescent="0.3">
      <c r="A792" s="20">
        <v>79.2</v>
      </c>
      <c r="B792" s="20">
        <v>81.92</v>
      </c>
      <c r="C792" s="20">
        <v>80</v>
      </c>
      <c r="D792" s="20">
        <v>-1.92</v>
      </c>
      <c r="E792" s="20">
        <v>-0.73</v>
      </c>
      <c r="F792" s="20">
        <v>1557.74</v>
      </c>
      <c r="Q792" s="25">
        <v>79.099999999999994</v>
      </c>
      <c r="R792" s="20">
        <v>80</v>
      </c>
      <c r="S792" s="20">
        <v>79.78</v>
      </c>
      <c r="T792" s="20">
        <v>0.22</v>
      </c>
      <c r="U792" s="20">
        <v>-0.06</v>
      </c>
      <c r="V792" s="20">
        <v>2685.56</v>
      </c>
    </row>
    <row r="793" spans="1:22" ht="16.8" x14ac:dyDescent="0.3">
      <c r="A793" s="20">
        <v>79.3</v>
      </c>
      <c r="B793" s="20">
        <v>81.17</v>
      </c>
      <c r="C793" s="20">
        <v>80</v>
      </c>
      <c r="D793" s="20">
        <v>-1.17</v>
      </c>
      <c r="E793" s="20">
        <v>0.75</v>
      </c>
      <c r="F793" s="20">
        <v>3028.61</v>
      </c>
      <c r="Q793" s="20">
        <v>79.2</v>
      </c>
      <c r="R793" s="20">
        <v>80</v>
      </c>
      <c r="S793" s="20">
        <v>79.87</v>
      </c>
      <c r="T793" s="20">
        <v>0.13</v>
      </c>
      <c r="U793" s="20">
        <v>-0.08</v>
      </c>
      <c r="V793" s="20">
        <v>2698.13</v>
      </c>
    </row>
    <row r="794" spans="1:22" ht="16.8" x14ac:dyDescent="0.3">
      <c r="A794" s="20">
        <v>79.400000000000006</v>
      </c>
      <c r="B794" s="20">
        <v>81.290000000000006</v>
      </c>
      <c r="C794" s="20">
        <v>80</v>
      </c>
      <c r="D794" s="20">
        <v>-1.29</v>
      </c>
      <c r="E794" s="20">
        <v>-0.12</v>
      </c>
      <c r="F794" s="20">
        <v>2210.6</v>
      </c>
      <c r="Q794" s="25">
        <v>79.3</v>
      </c>
      <c r="R794" s="20">
        <v>80</v>
      </c>
      <c r="S794" s="20">
        <v>79.95</v>
      </c>
      <c r="T794" s="20">
        <v>0.05</v>
      </c>
      <c r="U794" s="20">
        <v>-0.08</v>
      </c>
      <c r="V794" s="20">
        <v>2616.7600000000002</v>
      </c>
    </row>
    <row r="795" spans="1:22" ht="16.8" x14ac:dyDescent="0.3">
      <c r="A795" s="20">
        <v>79.5</v>
      </c>
      <c r="B795" s="20">
        <v>81.14</v>
      </c>
      <c r="C795" s="20">
        <v>80</v>
      </c>
      <c r="D795" s="20">
        <v>-1.1399999999999999</v>
      </c>
      <c r="E795" s="20">
        <v>0.15</v>
      </c>
      <c r="F795" s="20">
        <v>2481.35</v>
      </c>
      <c r="Q795" s="20">
        <v>79.400000000000006</v>
      </c>
      <c r="R795" s="20">
        <v>80</v>
      </c>
      <c r="S795" s="20">
        <v>80.03</v>
      </c>
      <c r="T795" s="20">
        <v>-0.03</v>
      </c>
      <c r="U795" s="20">
        <v>-0.08</v>
      </c>
      <c r="V795" s="20">
        <v>2497.2800000000002</v>
      </c>
    </row>
    <row r="796" spans="1:22" ht="16.8" x14ac:dyDescent="0.3">
      <c r="A796" s="20">
        <v>79.599999999999994</v>
      </c>
      <c r="B796" s="20">
        <v>81.12</v>
      </c>
      <c r="C796" s="20">
        <v>80</v>
      </c>
      <c r="D796" s="20">
        <v>-1.1200000000000001</v>
      </c>
      <c r="E796" s="20">
        <v>0.02</v>
      </c>
      <c r="F796" s="20">
        <v>2364.6</v>
      </c>
      <c r="Q796" s="25">
        <v>79.5</v>
      </c>
      <c r="R796" s="20">
        <v>80</v>
      </c>
      <c r="S796" s="20">
        <v>80.180000000000007</v>
      </c>
      <c r="T796" s="20">
        <v>-0.18</v>
      </c>
      <c r="U796" s="20">
        <v>-0.15</v>
      </c>
      <c r="V796" s="20">
        <v>2251.13</v>
      </c>
    </row>
    <row r="797" spans="1:22" ht="16.8" x14ac:dyDescent="0.3">
      <c r="A797" s="20">
        <v>79.7</v>
      </c>
      <c r="B797" s="20">
        <v>81.16</v>
      </c>
      <c r="C797" s="20">
        <v>80</v>
      </c>
      <c r="D797" s="20">
        <v>-1.1599999999999999</v>
      </c>
      <c r="E797" s="20">
        <v>-0.04</v>
      </c>
      <c r="F797" s="20">
        <v>2299.1799999999998</v>
      </c>
      <c r="Q797" s="25">
        <v>79.599999999999994</v>
      </c>
      <c r="R797" s="20">
        <v>80</v>
      </c>
      <c r="S797" s="20">
        <v>80.239999999999995</v>
      </c>
      <c r="T797" s="20">
        <v>-0.24</v>
      </c>
      <c r="U797" s="20">
        <v>-0.06</v>
      </c>
      <c r="V797" s="20">
        <v>2243.25</v>
      </c>
    </row>
    <row r="798" spans="1:22" ht="16.8" x14ac:dyDescent="0.3">
      <c r="A798" s="20">
        <v>79.8</v>
      </c>
      <c r="B798" s="20">
        <v>81.150000000000006</v>
      </c>
      <c r="C798" s="20">
        <v>80</v>
      </c>
      <c r="D798" s="20">
        <v>-1.1499999999999999</v>
      </c>
      <c r="E798" s="20">
        <v>0.01</v>
      </c>
      <c r="F798" s="20">
        <v>2345.19</v>
      </c>
      <c r="Q798" s="20">
        <v>79.7</v>
      </c>
      <c r="R798" s="20">
        <v>80</v>
      </c>
      <c r="S798" s="20">
        <v>80.319999999999993</v>
      </c>
      <c r="T798" s="20">
        <v>-0.32</v>
      </c>
      <c r="U798" s="20">
        <v>-0.08</v>
      </c>
      <c r="V798" s="20">
        <v>2128.34</v>
      </c>
    </row>
    <row r="799" spans="1:22" ht="16.8" x14ac:dyDescent="0.3">
      <c r="A799" s="20">
        <v>79.900000000000006</v>
      </c>
      <c r="B799" s="20">
        <v>81.13</v>
      </c>
      <c r="C799" s="20">
        <v>80</v>
      </c>
      <c r="D799" s="20">
        <v>-1.1299999999999999</v>
      </c>
      <c r="E799" s="20">
        <v>0.02</v>
      </c>
      <c r="F799" s="20">
        <v>2356.88</v>
      </c>
      <c r="Q799" s="25">
        <v>79.8</v>
      </c>
      <c r="R799" s="20">
        <v>80</v>
      </c>
      <c r="S799" s="20">
        <v>80.37</v>
      </c>
      <c r="T799" s="20">
        <v>-0.37</v>
      </c>
      <c r="U799" s="20">
        <v>-0.04</v>
      </c>
      <c r="V799" s="20">
        <v>2112.4899999999998</v>
      </c>
    </row>
    <row r="800" spans="1:22" ht="16.8" x14ac:dyDescent="0.3">
      <c r="A800" s="20">
        <v>80</v>
      </c>
      <c r="B800" s="20">
        <v>81.099999999999994</v>
      </c>
      <c r="C800" s="20">
        <v>80</v>
      </c>
      <c r="D800" s="20">
        <v>-1.1000000000000001</v>
      </c>
      <c r="E800" s="20">
        <v>0.03</v>
      </c>
      <c r="F800" s="20">
        <v>2362.0700000000002</v>
      </c>
      <c r="Q800" s="20">
        <v>79.900000000000006</v>
      </c>
      <c r="R800" s="20">
        <v>80</v>
      </c>
      <c r="S800" s="20">
        <v>80.489999999999995</v>
      </c>
      <c r="T800" s="20">
        <v>-0.49</v>
      </c>
      <c r="U800" s="20">
        <v>-0.12</v>
      </c>
      <c r="V800" s="20">
        <v>1873.54</v>
      </c>
    </row>
    <row r="801" spans="1:22" ht="16.8" x14ac:dyDescent="0.3">
      <c r="A801" s="20">
        <v>80.099999999999994</v>
      </c>
      <c r="B801" s="20">
        <v>81.11</v>
      </c>
      <c r="C801" s="20">
        <v>80</v>
      </c>
      <c r="D801" s="20">
        <v>-1.1100000000000001</v>
      </c>
      <c r="E801" s="20">
        <v>-0.01</v>
      </c>
      <c r="F801" s="20">
        <v>2320.0100000000002</v>
      </c>
      <c r="Q801" s="25">
        <v>80</v>
      </c>
      <c r="R801" s="20">
        <v>80</v>
      </c>
      <c r="S801" s="20">
        <v>80.5</v>
      </c>
      <c r="T801" s="20">
        <v>-0.5</v>
      </c>
      <c r="U801" s="20">
        <v>-0.01</v>
      </c>
      <c r="V801" s="20">
        <v>1950.97</v>
      </c>
    </row>
    <row r="802" spans="1:22" ht="16.8" x14ac:dyDescent="0.3">
      <c r="A802" s="20">
        <v>80.2</v>
      </c>
      <c r="B802" s="20">
        <v>81.099999999999994</v>
      </c>
      <c r="C802" s="20">
        <v>80</v>
      </c>
      <c r="D802" s="20">
        <v>-1.1000000000000001</v>
      </c>
      <c r="E802" s="20">
        <v>0.01</v>
      </c>
      <c r="F802" s="20">
        <v>2336.25</v>
      </c>
      <c r="Q802" s="25">
        <v>80.099999999999994</v>
      </c>
      <c r="R802" s="20">
        <v>80</v>
      </c>
      <c r="S802" s="20">
        <v>80.55</v>
      </c>
      <c r="T802" s="20">
        <v>-0.55000000000000004</v>
      </c>
      <c r="U802" s="20">
        <v>-0.04</v>
      </c>
      <c r="V802" s="20">
        <v>1837.08</v>
      </c>
    </row>
    <row r="803" spans="1:22" ht="16.8" x14ac:dyDescent="0.3">
      <c r="A803" s="20">
        <v>80.3</v>
      </c>
      <c r="B803" s="20">
        <v>81.13</v>
      </c>
      <c r="C803" s="20">
        <v>80</v>
      </c>
      <c r="D803" s="20">
        <v>-1.1299999999999999</v>
      </c>
      <c r="E803" s="20">
        <v>-0.03</v>
      </c>
      <c r="F803" s="20">
        <v>2290.59</v>
      </c>
      <c r="Q803" s="20">
        <v>80.2</v>
      </c>
      <c r="R803" s="20">
        <v>80</v>
      </c>
      <c r="S803" s="20">
        <v>80.61</v>
      </c>
      <c r="T803" s="20">
        <v>-0.61</v>
      </c>
      <c r="U803" s="20">
        <v>-0.06</v>
      </c>
      <c r="V803" s="20">
        <v>1663.04</v>
      </c>
    </row>
    <row r="804" spans="1:22" ht="16.8" x14ac:dyDescent="0.3">
      <c r="A804" s="20">
        <v>80.400000000000006</v>
      </c>
      <c r="B804" s="20">
        <v>81.05</v>
      </c>
      <c r="C804" s="20">
        <v>80</v>
      </c>
      <c r="D804" s="20">
        <v>-1.05</v>
      </c>
      <c r="E804" s="20">
        <v>0.08</v>
      </c>
      <c r="F804" s="20">
        <v>2408.0100000000002</v>
      </c>
      <c r="Q804" s="25">
        <v>80.3</v>
      </c>
      <c r="R804" s="20">
        <v>80</v>
      </c>
      <c r="S804" s="20">
        <v>80.650000000000006</v>
      </c>
      <c r="T804" s="20">
        <v>-0.65</v>
      </c>
      <c r="U804" s="20">
        <v>-0.04</v>
      </c>
      <c r="V804" s="20">
        <v>1558.7</v>
      </c>
    </row>
    <row r="805" spans="1:22" ht="16.8" x14ac:dyDescent="0.3">
      <c r="A805" s="20">
        <v>80.5</v>
      </c>
      <c r="B805" s="20">
        <v>81.09</v>
      </c>
      <c r="C805" s="20">
        <v>80</v>
      </c>
      <c r="D805" s="20">
        <v>-1.0900000000000001</v>
      </c>
      <c r="E805" s="20">
        <v>-0.04</v>
      </c>
      <c r="F805" s="20">
        <v>2280.0500000000002</v>
      </c>
      <c r="Q805" s="20">
        <v>80.400000000000006</v>
      </c>
      <c r="R805" s="20">
        <v>80</v>
      </c>
      <c r="S805" s="20">
        <v>80.62</v>
      </c>
      <c r="T805" s="20">
        <v>-0.62</v>
      </c>
      <c r="U805" s="20">
        <v>0.03</v>
      </c>
      <c r="V805" s="20">
        <v>1701.27</v>
      </c>
    </row>
    <row r="806" spans="1:22" ht="16.8" x14ac:dyDescent="0.3">
      <c r="A806" s="20">
        <v>80.599999999999994</v>
      </c>
      <c r="B806" s="20">
        <v>81.08</v>
      </c>
      <c r="C806" s="20">
        <v>80</v>
      </c>
      <c r="D806" s="20">
        <v>-1.08</v>
      </c>
      <c r="E806" s="20">
        <v>0.02</v>
      </c>
      <c r="F806" s="20">
        <v>2334.2800000000002</v>
      </c>
      <c r="Q806" s="25">
        <v>80.5</v>
      </c>
      <c r="R806" s="20">
        <v>80</v>
      </c>
      <c r="S806" s="20">
        <v>80.64</v>
      </c>
      <c r="T806" s="20">
        <v>-0.64</v>
      </c>
      <c r="U806" s="20">
        <v>-0.02</v>
      </c>
      <c r="V806" s="20">
        <v>1601.93</v>
      </c>
    </row>
    <row r="807" spans="1:22" ht="16.8" x14ac:dyDescent="0.3">
      <c r="A807" s="20">
        <v>80.7</v>
      </c>
      <c r="B807" s="20">
        <v>81.06</v>
      </c>
      <c r="C807" s="20">
        <v>80</v>
      </c>
      <c r="D807" s="20">
        <v>-1.06</v>
      </c>
      <c r="E807" s="20">
        <v>0.02</v>
      </c>
      <c r="F807" s="20">
        <v>2333.8200000000002</v>
      </c>
      <c r="Q807" s="25">
        <v>80.599999999999994</v>
      </c>
      <c r="R807" s="20">
        <v>80</v>
      </c>
      <c r="S807" s="20">
        <v>80.63</v>
      </c>
      <c r="T807" s="20">
        <v>-0.63</v>
      </c>
      <c r="U807" s="20">
        <v>0.01</v>
      </c>
      <c r="V807" s="20">
        <v>1664.64</v>
      </c>
    </row>
    <row r="808" spans="1:22" ht="16.8" x14ac:dyDescent="0.3">
      <c r="A808" s="20">
        <v>80.8</v>
      </c>
      <c r="B808" s="20">
        <v>81.05</v>
      </c>
      <c r="C808" s="20">
        <v>80</v>
      </c>
      <c r="D808" s="20">
        <v>-1.05</v>
      </c>
      <c r="E808" s="20">
        <v>0.01</v>
      </c>
      <c r="F808" s="20">
        <v>2329.02</v>
      </c>
      <c r="Q808" s="20">
        <v>80.7</v>
      </c>
      <c r="R808" s="20">
        <v>80</v>
      </c>
      <c r="S808" s="20">
        <v>80.599999999999994</v>
      </c>
      <c r="T808" s="20">
        <v>-0.6</v>
      </c>
      <c r="U808" s="20">
        <v>0.03</v>
      </c>
      <c r="V808" s="20">
        <v>1746.38</v>
      </c>
    </row>
    <row r="809" spans="1:22" ht="16.8" x14ac:dyDescent="0.3">
      <c r="A809" s="20">
        <v>80.900000000000006</v>
      </c>
      <c r="B809" s="20">
        <v>81.010000000000005</v>
      </c>
      <c r="C809" s="20">
        <v>80</v>
      </c>
      <c r="D809" s="20">
        <v>-1.01</v>
      </c>
      <c r="E809" s="20">
        <v>0.04</v>
      </c>
      <c r="F809" s="20">
        <v>2354.14</v>
      </c>
      <c r="Q809" s="25">
        <v>80.8</v>
      </c>
      <c r="R809" s="20">
        <v>80</v>
      </c>
      <c r="S809" s="20">
        <v>80.540000000000006</v>
      </c>
      <c r="T809" s="20">
        <v>-0.54</v>
      </c>
      <c r="U809" s="20">
        <v>0.06</v>
      </c>
      <c r="V809" s="20">
        <v>1886.82</v>
      </c>
    </row>
    <row r="810" spans="1:22" ht="16.8" x14ac:dyDescent="0.3">
      <c r="A810" s="20">
        <v>81</v>
      </c>
      <c r="B810" s="20">
        <v>81.010000000000005</v>
      </c>
      <c r="C810" s="20">
        <v>80</v>
      </c>
      <c r="D810" s="20">
        <v>-1.01</v>
      </c>
      <c r="E810" s="20">
        <v>0</v>
      </c>
      <c r="F810" s="20">
        <v>2318.14</v>
      </c>
      <c r="Q810" s="20">
        <v>80.900000000000006</v>
      </c>
      <c r="R810" s="20">
        <v>80</v>
      </c>
      <c r="S810" s="20">
        <v>80.510000000000005</v>
      </c>
      <c r="T810" s="20">
        <v>-0.51</v>
      </c>
      <c r="U810" s="20">
        <v>0.03</v>
      </c>
      <c r="V810" s="20">
        <v>1940.74</v>
      </c>
    </row>
    <row r="811" spans="1:22" ht="16.8" x14ac:dyDescent="0.3">
      <c r="A811" s="20">
        <v>81.099999999999994</v>
      </c>
      <c r="B811" s="20">
        <v>81</v>
      </c>
      <c r="C811" s="20">
        <v>80</v>
      </c>
      <c r="D811" s="20">
        <v>-1</v>
      </c>
      <c r="E811" s="20">
        <v>0.01</v>
      </c>
      <c r="F811" s="20">
        <v>2328.1</v>
      </c>
      <c r="Q811" s="25">
        <v>81</v>
      </c>
      <c r="R811" s="20">
        <v>80</v>
      </c>
      <c r="S811" s="20">
        <v>80.430000000000007</v>
      </c>
      <c r="T811" s="20">
        <v>-0.43</v>
      </c>
      <c r="U811" s="20">
        <v>0.08</v>
      </c>
      <c r="V811" s="20">
        <v>2068.4899999999998</v>
      </c>
    </row>
    <row r="812" spans="1:22" ht="16.8" x14ac:dyDescent="0.3">
      <c r="A812" s="20">
        <v>81.2</v>
      </c>
      <c r="B812" s="20">
        <v>80.989999999999995</v>
      </c>
      <c r="C812" s="20">
        <v>80</v>
      </c>
      <c r="D812" s="20">
        <v>-0.99</v>
      </c>
      <c r="E812" s="20">
        <v>0.01</v>
      </c>
      <c r="F812" s="20">
        <v>2322.7800000000002</v>
      </c>
      <c r="Q812" s="25">
        <v>81.099999999999994</v>
      </c>
      <c r="R812" s="20">
        <v>80</v>
      </c>
      <c r="S812" s="20">
        <v>80.319999999999993</v>
      </c>
      <c r="T812" s="20">
        <v>-0.32</v>
      </c>
      <c r="U812" s="20">
        <v>0.11</v>
      </c>
      <c r="V812" s="20">
        <v>2203.8000000000002</v>
      </c>
    </row>
    <row r="813" spans="1:22" ht="16.8" x14ac:dyDescent="0.3">
      <c r="A813" s="20">
        <v>81.3</v>
      </c>
      <c r="B813" s="20">
        <v>80.98</v>
      </c>
      <c r="C813" s="20">
        <v>80</v>
      </c>
      <c r="D813" s="20">
        <v>-0.98</v>
      </c>
      <c r="E813" s="20">
        <v>0.01</v>
      </c>
      <c r="F813" s="20">
        <v>2321.14</v>
      </c>
      <c r="Q813" s="20">
        <v>81.2</v>
      </c>
      <c r="R813" s="20">
        <v>80</v>
      </c>
      <c r="S813" s="20">
        <v>80.3</v>
      </c>
      <c r="T813" s="20">
        <v>-0.3</v>
      </c>
      <c r="U813" s="20">
        <v>0.02</v>
      </c>
      <c r="V813" s="20">
        <v>2230.5300000000002</v>
      </c>
    </row>
    <row r="814" spans="1:22" ht="16.8" x14ac:dyDescent="0.3">
      <c r="A814" s="20">
        <v>81.400000000000006</v>
      </c>
      <c r="B814" s="20">
        <v>80.97</v>
      </c>
      <c r="C814" s="20">
        <v>80</v>
      </c>
      <c r="D814" s="20">
        <v>-0.97</v>
      </c>
      <c r="E814" s="20">
        <v>0.02</v>
      </c>
      <c r="F814" s="20">
        <v>2328.27</v>
      </c>
      <c r="Q814" s="25">
        <v>81.3</v>
      </c>
      <c r="R814" s="20">
        <v>80</v>
      </c>
      <c r="S814" s="20">
        <v>80.180000000000007</v>
      </c>
      <c r="T814" s="20">
        <v>-0.18</v>
      </c>
      <c r="U814" s="20">
        <v>0.12</v>
      </c>
      <c r="V814" s="20">
        <v>2354.7600000000002</v>
      </c>
    </row>
    <row r="815" spans="1:22" ht="16.8" x14ac:dyDescent="0.3">
      <c r="A815" s="20">
        <v>81.5</v>
      </c>
      <c r="B815" s="20">
        <v>80.94</v>
      </c>
      <c r="C815" s="20">
        <v>80</v>
      </c>
      <c r="D815" s="20">
        <v>-0.94</v>
      </c>
      <c r="E815" s="20">
        <v>0.03</v>
      </c>
      <c r="F815" s="20">
        <v>2341.2199999999998</v>
      </c>
      <c r="Q815" s="20">
        <v>81.400000000000006</v>
      </c>
      <c r="R815" s="20">
        <v>80</v>
      </c>
      <c r="S815" s="20">
        <v>80.14</v>
      </c>
      <c r="T815" s="20">
        <v>-0.14000000000000001</v>
      </c>
      <c r="U815" s="20">
        <v>0.04</v>
      </c>
      <c r="V815" s="20">
        <v>2393.41</v>
      </c>
    </row>
    <row r="816" spans="1:22" ht="16.8" x14ac:dyDescent="0.3">
      <c r="A816" s="20">
        <v>81.599999999999994</v>
      </c>
      <c r="B816" s="20">
        <v>80.930000000000007</v>
      </c>
      <c r="C816" s="20">
        <v>80</v>
      </c>
      <c r="D816" s="20">
        <v>-0.93</v>
      </c>
      <c r="E816" s="20">
        <v>0.01</v>
      </c>
      <c r="F816" s="20">
        <v>2325.87</v>
      </c>
      <c r="Q816" s="25">
        <v>81.5</v>
      </c>
      <c r="R816" s="20">
        <v>80</v>
      </c>
      <c r="S816" s="20">
        <v>80.099999999999994</v>
      </c>
      <c r="T816" s="20">
        <v>-0.1</v>
      </c>
      <c r="U816" s="20">
        <v>0.04</v>
      </c>
      <c r="V816" s="20">
        <v>2439.61</v>
      </c>
    </row>
    <row r="817" spans="1:22" ht="16.8" x14ac:dyDescent="0.3">
      <c r="A817" s="20">
        <v>81.7</v>
      </c>
      <c r="B817" s="20">
        <v>80.959999999999994</v>
      </c>
      <c r="C817" s="20">
        <v>80</v>
      </c>
      <c r="D817" s="20">
        <v>-0.96</v>
      </c>
      <c r="E817" s="20">
        <v>-0.03</v>
      </c>
      <c r="F817" s="20">
        <v>2281.46</v>
      </c>
      <c r="Q817" s="25">
        <v>81.599999999999994</v>
      </c>
      <c r="R817" s="20">
        <v>80</v>
      </c>
      <c r="S817" s="20">
        <v>80.010000000000005</v>
      </c>
      <c r="T817" s="20">
        <v>-0.01</v>
      </c>
      <c r="U817" s="20">
        <v>0.08</v>
      </c>
      <c r="V817" s="20">
        <v>2533.37</v>
      </c>
    </row>
    <row r="818" spans="1:22" ht="16.8" x14ac:dyDescent="0.3">
      <c r="A818" s="20">
        <v>81.8</v>
      </c>
      <c r="B818" s="20">
        <v>80.97</v>
      </c>
      <c r="C818" s="20">
        <v>80</v>
      </c>
      <c r="D818" s="20">
        <v>-0.97</v>
      </c>
      <c r="E818" s="20">
        <v>-0.01</v>
      </c>
      <c r="F818" s="20">
        <v>2290.9499999999998</v>
      </c>
      <c r="Q818" s="20">
        <v>81.7</v>
      </c>
      <c r="R818" s="20">
        <v>80</v>
      </c>
      <c r="S818" s="20">
        <v>79.959999999999994</v>
      </c>
      <c r="T818" s="20">
        <v>0.04</v>
      </c>
      <c r="U818" s="20">
        <v>0.06</v>
      </c>
      <c r="V818" s="20">
        <v>2602.21</v>
      </c>
    </row>
    <row r="819" spans="1:22" ht="16.8" x14ac:dyDescent="0.3">
      <c r="A819" s="20">
        <v>81.900000000000006</v>
      </c>
      <c r="B819" s="20">
        <v>80.900000000000006</v>
      </c>
      <c r="C819" s="20">
        <v>80</v>
      </c>
      <c r="D819" s="20">
        <v>-0.9</v>
      </c>
      <c r="E819" s="20">
        <v>7.0000000000000007E-2</v>
      </c>
      <c r="F819" s="20">
        <v>2377.5</v>
      </c>
      <c r="Q819" s="25">
        <v>81.8</v>
      </c>
      <c r="R819" s="20">
        <v>80</v>
      </c>
      <c r="S819" s="20">
        <v>79.86</v>
      </c>
      <c r="T819" s="20">
        <v>0.14000000000000001</v>
      </c>
      <c r="U819" s="20">
        <v>0.1</v>
      </c>
      <c r="V819" s="20">
        <v>2711.44</v>
      </c>
    </row>
    <row r="820" spans="1:22" ht="16.8" x14ac:dyDescent="0.3">
      <c r="A820" s="20">
        <v>82</v>
      </c>
      <c r="B820" s="20">
        <v>80.89</v>
      </c>
      <c r="C820" s="20">
        <v>80</v>
      </c>
      <c r="D820" s="20">
        <v>-0.89</v>
      </c>
      <c r="E820" s="20">
        <v>0.01</v>
      </c>
      <c r="F820" s="20">
        <v>2317.7800000000002</v>
      </c>
      <c r="Q820" s="20">
        <v>81.900000000000006</v>
      </c>
      <c r="R820" s="20">
        <v>80</v>
      </c>
      <c r="S820" s="20">
        <v>79.88</v>
      </c>
      <c r="T820" s="20">
        <v>0.12</v>
      </c>
      <c r="U820" s="20">
        <v>-0.02</v>
      </c>
      <c r="V820" s="20">
        <v>2596.84</v>
      </c>
    </row>
    <row r="821" spans="1:22" ht="16.8" x14ac:dyDescent="0.3">
      <c r="A821" s="20">
        <v>82.1</v>
      </c>
      <c r="B821" s="20">
        <v>80.89</v>
      </c>
      <c r="C821" s="20">
        <v>80</v>
      </c>
      <c r="D821" s="20">
        <v>-0.89</v>
      </c>
      <c r="E821" s="20">
        <v>0</v>
      </c>
      <c r="F821" s="20">
        <v>2307.71</v>
      </c>
      <c r="Q821" s="25">
        <v>82</v>
      </c>
      <c r="R821" s="20">
        <v>80</v>
      </c>
      <c r="S821" s="20">
        <v>79.86</v>
      </c>
      <c r="T821" s="20">
        <v>0.14000000000000001</v>
      </c>
      <c r="U821" s="20">
        <v>0.01</v>
      </c>
      <c r="V821" s="20">
        <v>2578.7399999999998</v>
      </c>
    </row>
    <row r="822" spans="1:22" ht="16.8" x14ac:dyDescent="0.3">
      <c r="A822" s="20">
        <v>82.2</v>
      </c>
      <c r="B822" s="20">
        <v>80.84</v>
      </c>
      <c r="C822" s="20">
        <v>80</v>
      </c>
      <c r="D822" s="20">
        <v>-0.84</v>
      </c>
      <c r="E822" s="20">
        <v>0.04</v>
      </c>
      <c r="F822" s="20">
        <v>2352.9899999999998</v>
      </c>
      <c r="Q822" s="25">
        <v>82.1</v>
      </c>
      <c r="R822" s="20">
        <v>80</v>
      </c>
      <c r="S822" s="20">
        <v>79.84</v>
      </c>
      <c r="T822" s="20">
        <v>0.16</v>
      </c>
      <c r="U822" s="20">
        <v>0.03</v>
      </c>
      <c r="V822" s="20">
        <v>2615.56</v>
      </c>
    </row>
    <row r="823" spans="1:22" ht="16.8" x14ac:dyDescent="0.3">
      <c r="A823" s="20">
        <v>82.3</v>
      </c>
      <c r="B823" s="20">
        <v>80.81</v>
      </c>
      <c r="C823" s="20">
        <v>80</v>
      </c>
      <c r="D823" s="20">
        <v>-0.81</v>
      </c>
      <c r="E823" s="20">
        <v>0.04</v>
      </c>
      <c r="F823" s="20">
        <v>2349.54</v>
      </c>
      <c r="Q823" s="20">
        <v>82.2</v>
      </c>
      <c r="R823" s="20">
        <v>80</v>
      </c>
      <c r="S823" s="20">
        <v>79.83</v>
      </c>
      <c r="T823" s="20">
        <v>0.17</v>
      </c>
      <c r="U823" s="20">
        <v>0</v>
      </c>
      <c r="V823" s="20">
        <v>2559.88</v>
      </c>
    </row>
    <row r="824" spans="1:22" ht="16.8" x14ac:dyDescent="0.3">
      <c r="A824" s="20">
        <v>82.4</v>
      </c>
      <c r="B824" s="20">
        <v>80.8</v>
      </c>
      <c r="C824" s="20">
        <v>80</v>
      </c>
      <c r="D824" s="20">
        <v>-0.8</v>
      </c>
      <c r="E824" s="20">
        <v>0.01</v>
      </c>
      <c r="F824" s="20">
        <v>2322.91</v>
      </c>
      <c r="Q824" s="25">
        <v>82.3</v>
      </c>
      <c r="R824" s="20">
        <v>80</v>
      </c>
      <c r="S824" s="20">
        <v>79.78</v>
      </c>
      <c r="T824" s="20">
        <v>0.22</v>
      </c>
      <c r="U824" s="20">
        <v>0.05</v>
      </c>
      <c r="V824" s="20">
        <v>2661.1</v>
      </c>
    </row>
    <row r="825" spans="1:22" ht="16.8" x14ac:dyDescent="0.3">
      <c r="A825" s="20">
        <v>82.5</v>
      </c>
      <c r="B825" s="20">
        <v>80.78</v>
      </c>
      <c r="C825" s="20">
        <v>80</v>
      </c>
      <c r="D825" s="20">
        <v>-0.78</v>
      </c>
      <c r="E825" s="20">
        <v>0.02</v>
      </c>
      <c r="F825" s="20">
        <v>2339.34</v>
      </c>
      <c r="Q825" s="20">
        <v>82.4</v>
      </c>
      <c r="R825" s="20">
        <v>80</v>
      </c>
      <c r="S825" s="20">
        <v>79.86</v>
      </c>
      <c r="T825" s="20">
        <v>0.14000000000000001</v>
      </c>
      <c r="U825" s="20">
        <v>-0.08</v>
      </c>
      <c r="V825" s="20">
        <v>2702.04</v>
      </c>
    </row>
    <row r="826" spans="1:22" ht="16.8" x14ac:dyDescent="0.3">
      <c r="A826" s="20">
        <v>82.6</v>
      </c>
      <c r="B826" s="20">
        <v>80.75</v>
      </c>
      <c r="C826" s="20">
        <v>80</v>
      </c>
      <c r="D826" s="20">
        <v>-0.75</v>
      </c>
      <c r="E826" s="20">
        <v>0.02</v>
      </c>
      <c r="F826" s="20">
        <v>2341.25</v>
      </c>
      <c r="Q826" s="25">
        <v>82.5</v>
      </c>
      <c r="R826" s="20">
        <v>80</v>
      </c>
      <c r="S826" s="20">
        <v>79.84</v>
      </c>
      <c r="T826" s="20">
        <v>0.16</v>
      </c>
      <c r="U826" s="20">
        <v>0.03</v>
      </c>
      <c r="V826" s="20">
        <v>2615.56</v>
      </c>
    </row>
    <row r="827" spans="1:22" ht="16.8" x14ac:dyDescent="0.3">
      <c r="A827" s="20">
        <v>82.7</v>
      </c>
      <c r="B827" s="20">
        <v>80.760000000000005</v>
      </c>
      <c r="C827" s="20">
        <v>80</v>
      </c>
      <c r="D827" s="20">
        <v>-0.76</v>
      </c>
      <c r="E827" s="20">
        <v>-0.01</v>
      </c>
      <c r="F827" s="20">
        <v>2303.91</v>
      </c>
      <c r="Q827" s="20">
        <v>82.6</v>
      </c>
      <c r="R827" s="20">
        <v>80</v>
      </c>
      <c r="S827" s="20">
        <v>79.89</v>
      </c>
      <c r="T827" s="20">
        <v>0.11</v>
      </c>
      <c r="U827" s="20">
        <v>-0.06</v>
      </c>
      <c r="V827" s="20">
        <v>2671.22</v>
      </c>
    </row>
    <row r="828" spans="1:22" ht="16.8" x14ac:dyDescent="0.3">
      <c r="A828" s="20">
        <v>82.8</v>
      </c>
      <c r="B828" s="20">
        <v>80.75</v>
      </c>
      <c r="C828" s="20">
        <v>80</v>
      </c>
      <c r="D828" s="20">
        <v>-0.75</v>
      </c>
      <c r="E828" s="20">
        <v>0.01</v>
      </c>
      <c r="F828" s="20">
        <v>2325.6</v>
      </c>
      <c r="Q828" s="25">
        <v>82.7</v>
      </c>
      <c r="R828" s="20">
        <v>80</v>
      </c>
      <c r="S828" s="20">
        <v>79.94</v>
      </c>
      <c r="T828" s="20">
        <v>0.06</v>
      </c>
      <c r="U828" s="20">
        <v>-0.05</v>
      </c>
      <c r="V828" s="20">
        <v>2620.4299999999998</v>
      </c>
    </row>
    <row r="829" spans="1:22" ht="16.8" x14ac:dyDescent="0.3">
      <c r="A829" s="20">
        <v>82.9</v>
      </c>
      <c r="B829" s="20">
        <v>80.77</v>
      </c>
      <c r="C829" s="20">
        <v>80</v>
      </c>
      <c r="D829" s="20">
        <v>-0.77</v>
      </c>
      <c r="E829" s="20">
        <v>-0.02</v>
      </c>
      <c r="F829" s="20">
        <v>2290.4899999999998</v>
      </c>
      <c r="Q829" s="25">
        <v>82.8</v>
      </c>
      <c r="R829" s="20">
        <v>80</v>
      </c>
      <c r="S829" s="20">
        <v>79.989999999999995</v>
      </c>
      <c r="T829" s="20">
        <v>0.01</v>
      </c>
      <c r="U829" s="20">
        <v>-0.04</v>
      </c>
      <c r="V829" s="20">
        <v>2568.3200000000002</v>
      </c>
    </row>
    <row r="830" spans="1:22" ht="16.8" x14ac:dyDescent="0.3">
      <c r="A830" s="20">
        <v>83</v>
      </c>
      <c r="B830" s="20">
        <v>80.73</v>
      </c>
      <c r="C830" s="20">
        <v>80</v>
      </c>
      <c r="D830" s="20">
        <v>-0.73</v>
      </c>
      <c r="E830" s="20">
        <v>0.04</v>
      </c>
      <c r="F830" s="20">
        <v>2345.65</v>
      </c>
      <c r="Q830" s="20">
        <v>82.9</v>
      </c>
      <c r="R830" s="20">
        <v>80</v>
      </c>
      <c r="S830" s="20">
        <v>80.040000000000006</v>
      </c>
      <c r="T830" s="20">
        <v>-0.04</v>
      </c>
      <c r="U830" s="20">
        <v>-0.06</v>
      </c>
      <c r="V830" s="20">
        <v>2477.7800000000002</v>
      </c>
    </row>
    <row r="831" spans="1:22" ht="16.8" x14ac:dyDescent="0.3">
      <c r="A831" s="20">
        <v>83.1</v>
      </c>
      <c r="B831" s="20">
        <v>80.7</v>
      </c>
      <c r="C831" s="20">
        <v>80</v>
      </c>
      <c r="D831" s="20">
        <v>-0.7</v>
      </c>
      <c r="E831" s="20">
        <v>0.04</v>
      </c>
      <c r="F831" s="20">
        <v>2349.84</v>
      </c>
      <c r="Q831" s="25">
        <v>83</v>
      </c>
      <c r="R831" s="20">
        <v>80</v>
      </c>
      <c r="S831" s="20">
        <v>80.099999999999994</v>
      </c>
      <c r="T831" s="20">
        <v>-0.1</v>
      </c>
      <c r="U831" s="20">
        <v>-0.06</v>
      </c>
      <c r="V831" s="20">
        <v>2382.5500000000002</v>
      </c>
    </row>
    <row r="832" spans="1:22" ht="16.8" x14ac:dyDescent="0.3">
      <c r="A832" s="20">
        <v>83.2</v>
      </c>
      <c r="B832" s="20">
        <v>80.66</v>
      </c>
      <c r="C832" s="20">
        <v>80</v>
      </c>
      <c r="D832" s="20">
        <v>-0.66</v>
      </c>
      <c r="E832" s="20">
        <v>0.04</v>
      </c>
      <c r="F832" s="20">
        <v>2358.4899999999998</v>
      </c>
      <c r="Q832" s="20">
        <v>83.1</v>
      </c>
      <c r="R832" s="20">
        <v>80</v>
      </c>
      <c r="S832" s="20">
        <v>80.17</v>
      </c>
      <c r="T832" s="20">
        <v>-0.17</v>
      </c>
      <c r="U832" s="20">
        <v>-0.06</v>
      </c>
      <c r="V832" s="20">
        <v>2308.64</v>
      </c>
    </row>
    <row r="833" spans="1:22" ht="16.8" x14ac:dyDescent="0.3">
      <c r="A833" s="20">
        <v>83.3</v>
      </c>
      <c r="B833" s="20">
        <v>80.73</v>
      </c>
      <c r="C833" s="20">
        <v>80</v>
      </c>
      <c r="D833" s="20">
        <v>-0.73</v>
      </c>
      <c r="E833" s="20">
        <v>-7.0000000000000007E-2</v>
      </c>
      <c r="F833" s="20">
        <v>2245.6999999999998</v>
      </c>
      <c r="Q833" s="25">
        <v>83.2</v>
      </c>
      <c r="R833" s="20">
        <v>80</v>
      </c>
      <c r="S833" s="20">
        <v>80.19</v>
      </c>
      <c r="T833" s="20">
        <v>-0.19</v>
      </c>
      <c r="U833" s="20">
        <v>-0.02</v>
      </c>
      <c r="V833" s="20">
        <v>2321.64</v>
      </c>
    </row>
    <row r="834" spans="1:22" ht="16.8" x14ac:dyDescent="0.3">
      <c r="A834" s="20">
        <v>83.4</v>
      </c>
      <c r="B834" s="20">
        <v>80.709999999999994</v>
      </c>
      <c r="C834" s="20">
        <v>80</v>
      </c>
      <c r="D834" s="20">
        <v>-0.71</v>
      </c>
      <c r="E834" s="20">
        <v>0.01</v>
      </c>
      <c r="F834" s="20">
        <v>2318.58</v>
      </c>
      <c r="Q834" s="25">
        <v>83.3</v>
      </c>
      <c r="R834" s="20">
        <v>80</v>
      </c>
      <c r="S834" s="20">
        <v>80.28</v>
      </c>
      <c r="T834" s="20">
        <v>-0.28000000000000003</v>
      </c>
      <c r="U834" s="20">
        <v>-0.09</v>
      </c>
      <c r="V834" s="20">
        <v>2165.0300000000002</v>
      </c>
    </row>
    <row r="835" spans="1:22" ht="16.8" x14ac:dyDescent="0.3">
      <c r="A835" s="20">
        <v>83.5</v>
      </c>
      <c r="B835" s="20">
        <v>80.69</v>
      </c>
      <c r="C835" s="20">
        <v>80</v>
      </c>
      <c r="D835" s="20">
        <v>-0.69</v>
      </c>
      <c r="E835" s="20">
        <v>0.03</v>
      </c>
      <c r="F835" s="20">
        <v>2336.02</v>
      </c>
      <c r="Q835" s="20">
        <v>83.4</v>
      </c>
      <c r="R835" s="20">
        <v>80</v>
      </c>
      <c r="S835" s="20">
        <v>80.3</v>
      </c>
      <c r="T835" s="20">
        <v>-0.3</v>
      </c>
      <c r="U835" s="20">
        <v>-0.01</v>
      </c>
      <c r="V835" s="20">
        <v>2224.04</v>
      </c>
    </row>
    <row r="836" spans="1:22" ht="16.8" x14ac:dyDescent="0.3">
      <c r="A836" s="20">
        <v>83.6</v>
      </c>
      <c r="B836" s="20">
        <v>80.67</v>
      </c>
      <c r="C836" s="20">
        <v>80</v>
      </c>
      <c r="D836" s="20">
        <v>-0.67</v>
      </c>
      <c r="E836" s="20">
        <v>0.02</v>
      </c>
      <c r="F836" s="20">
        <v>2325.79</v>
      </c>
      <c r="Q836" s="25">
        <v>83.5</v>
      </c>
      <c r="R836" s="20">
        <v>80</v>
      </c>
      <c r="S836" s="20">
        <v>80.34</v>
      </c>
      <c r="T836" s="20">
        <v>-0.34</v>
      </c>
      <c r="U836" s="20">
        <v>-0.04</v>
      </c>
      <c r="V836" s="20">
        <v>2145.77</v>
      </c>
    </row>
    <row r="837" spans="1:22" ht="16.8" x14ac:dyDescent="0.3">
      <c r="A837" s="20">
        <v>83.7</v>
      </c>
      <c r="B837" s="20">
        <v>80.62</v>
      </c>
      <c r="C837" s="20">
        <v>80</v>
      </c>
      <c r="D837" s="20">
        <v>-0.62</v>
      </c>
      <c r="E837" s="20">
        <v>0.05</v>
      </c>
      <c r="F837" s="20">
        <v>2365.9</v>
      </c>
      <c r="Q837" s="20">
        <v>83.6</v>
      </c>
      <c r="R837" s="20">
        <v>80</v>
      </c>
      <c r="S837" s="20">
        <v>80.38</v>
      </c>
      <c r="T837" s="20">
        <v>-0.38</v>
      </c>
      <c r="U837" s="20">
        <v>-0.04</v>
      </c>
      <c r="V837" s="20">
        <v>2092.59</v>
      </c>
    </row>
    <row r="838" spans="1:22" ht="16.8" x14ac:dyDescent="0.3">
      <c r="A838" s="20">
        <v>83.8</v>
      </c>
      <c r="B838" s="20">
        <v>80.67</v>
      </c>
      <c r="C838" s="20">
        <v>80</v>
      </c>
      <c r="D838" s="20">
        <v>-0.67</v>
      </c>
      <c r="E838" s="20">
        <v>-0.06</v>
      </c>
      <c r="F838" s="20">
        <v>2255.37</v>
      </c>
      <c r="Q838" s="25">
        <v>83.7</v>
      </c>
      <c r="R838" s="20">
        <v>80</v>
      </c>
      <c r="S838" s="20">
        <v>80.41</v>
      </c>
      <c r="T838" s="20">
        <v>-0.41</v>
      </c>
      <c r="U838" s="20">
        <v>-0.03</v>
      </c>
      <c r="V838" s="20">
        <v>2070.5100000000002</v>
      </c>
    </row>
    <row r="839" spans="1:22" ht="16.8" x14ac:dyDescent="0.3">
      <c r="A839" s="20">
        <v>83.9</v>
      </c>
      <c r="B839" s="20">
        <v>80.62</v>
      </c>
      <c r="C839" s="20">
        <v>80</v>
      </c>
      <c r="D839" s="20">
        <v>-0.62</v>
      </c>
      <c r="E839" s="20">
        <v>0.05</v>
      </c>
      <c r="F839" s="20">
        <v>2361.17</v>
      </c>
      <c r="Q839" s="25">
        <v>83.8</v>
      </c>
      <c r="R839" s="20">
        <v>80</v>
      </c>
      <c r="S839" s="20">
        <v>80.400000000000006</v>
      </c>
      <c r="T839" s="20">
        <v>-0.4</v>
      </c>
      <c r="U839" s="20">
        <v>0.01</v>
      </c>
      <c r="V839" s="20">
        <v>2111.89</v>
      </c>
    </row>
    <row r="840" spans="1:22" ht="16.8" x14ac:dyDescent="0.3">
      <c r="A840" s="20">
        <v>84</v>
      </c>
      <c r="B840" s="20">
        <v>80.650000000000006</v>
      </c>
      <c r="C840" s="20">
        <v>80</v>
      </c>
      <c r="D840" s="20">
        <v>-0.65</v>
      </c>
      <c r="E840" s="20">
        <v>-0.02</v>
      </c>
      <c r="F840" s="20">
        <v>2285.59</v>
      </c>
      <c r="Q840" s="20">
        <v>83.9</v>
      </c>
      <c r="R840" s="20">
        <v>80</v>
      </c>
      <c r="S840" s="20">
        <v>80.459999999999994</v>
      </c>
      <c r="T840" s="20">
        <v>-0.46</v>
      </c>
      <c r="U840" s="20">
        <v>-0.06</v>
      </c>
      <c r="V840" s="20">
        <v>1962.73</v>
      </c>
    </row>
    <row r="841" spans="1:22" ht="16.8" x14ac:dyDescent="0.3">
      <c r="A841" s="20">
        <v>84.1</v>
      </c>
      <c r="B841" s="20">
        <v>80.61</v>
      </c>
      <c r="C841" s="20">
        <v>80</v>
      </c>
      <c r="D841" s="20">
        <v>-0.61</v>
      </c>
      <c r="E841" s="20">
        <v>0.04</v>
      </c>
      <c r="F841" s="20">
        <v>2349.17</v>
      </c>
      <c r="Q841" s="25">
        <v>84</v>
      </c>
      <c r="R841" s="20">
        <v>80</v>
      </c>
      <c r="S841" s="20">
        <v>80.5</v>
      </c>
      <c r="T841" s="20">
        <v>-0.5</v>
      </c>
      <c r="U841" s="20">
        <v>-0.03</v>
      </c>
      <c r="V841" s="20">
        <v>1939.32</v>
      </c>
    </row>
    <row r="842" spans="1:22" ht="16.8" x14ac:dyDescent="0.3">
      <c r="A842" s="20">
        <v>84.2</v>
      </c>
      <c r="B842" s="20">
        <v>80.59</v>
      </c>
      <c r="C842" s="20">
        <v>80</v>
      </c>
      <c r="D842" s="20">
        <v>-0.59</v>
      </c>
      <c r="E842" s="20">
        <v>0.02</v>
      </c>
      <c r="F842" s="20">
        <v>2332.62</v>
      </c>
      <c r="Q842" s="25">
        <v>84.1</v>
      </c>
      <c r="R842" s="20">
        <v>80</v>
      </c>
      <c r="S842" s="20">
        <v>80.489999999999995</v>
      </c>
      <c r="T842" s="20">
        <v>-0.49</v>
      </c>
      <c r="U842" s="20">
        <v>0.01</v>
      </c>
      <c r="V842" s="20">
        <v>1982.66</v>
      </c>
    </row>
    <row r="843" spans="1:22" ht="16.8" x14ac:dyDescent="0.3">
      <c r="A843" s="20">
        <v>84.3</v>
      </c>
      <c r="B843" s="20">
        <v>80.53</v>
      </c>
      <c r="C843" s="20">
        <v>80</v>
      </c>
      <c r="D843" s="20">
        <v>-0.53</v>
      </c>
      <c r="E843" s="20">
        <v>0.06</v>
      </c>
      <c r="F843" s="20">
        <v>2373.6799999999998</v>
      </c>
      <c r="Q843" s="20">
        <v>84.2</v>
      </c>
      <c r="R843" s="20">
        <v>80</v>
      </c>
      <c r="S843" s="20">
        <v>80.52</v>
      </c>
      <c r="T843" s="20">
        <v>-0.52</v>
      </c>
      <c r="U843" s="20">
        <v>-0.03</v>
      </c>
      <c r="V843" s="20">
        <v>1907.17</v>
      </c>
    </row>
    <row r="844" spans="1:22" ht="16.8" x14ac:dyDescent="0.3">
      <c r="A844" s="20">
        <v>84.4</v>
      </c>
      <c r="B844" s="20">
        <v>80.53</v>
      </c>
      <c r="C844" s="20">
        <v>80</v>
      </c>
      <c r="D844" s="20">
        <v>-0.53</v>
      </c>
      <c r="E844" s="20">
        <v>0</v>
      </c>
      <c r="F844" s="20">
        <v>2320.9499999999998</v>
      </c>
      <c r="Q844" s="25">
        <v>84.3</v>
      </c>
      <c r="R844" s="20">
        <v>80</v>
      </c>
      <c r="S844" s="20">
        <v>80.52</v>
      </c>
      <c r="T844" s="20">
        <v>-0.52</v>
      </c>
      <c r="U844" s="20">
        <v>0</v>
      </c>
      <c r="V844" s="20">
        <v>1922.15</v>
      </c>
    </row>
    <row r="845" spans="1:22" ht="16.8" x14ac:dyDescent="0.3">
      <c r="A845" s="20">
        <v>84.5</v>
      </c>
      <c r="B845" s="20">
        <v>80.510000000000005</v>
      </c>
      <c r="C845" s="20">
        <v>80</v>
      </c>
      <c r="D845" s="20">
        <v>-0.51</v>
      </c>
      <c r="E845" s="20">
        <v>0.02</v>
      </c>
      <c r="F845" s="20">
        <v>2336.77</v>
      </c>
      <c r="Q845" s="20">
        <v>84.4</v>
      </c>
      <c r="R845" s="20">
        <v>80</v>
      </c>
      <c r="S845" s="20">
        <v>80.459999999999994</v>
      </c>
      <c r="T845" s="20">
        <v>-0.46</v>
      </c>
      <c r="U845" s="20">
        <v>0.06</v>
      </c>
      <c r="V845" s="20">
        <v>2021.28</v>
      </c>
    </row>
    <row r="846" spans="1:22" ht="16.8" x14ac:dyDescent="0.3">
      <c r="A846" s="20">
        <v>84.6</v>
      </c>
      <c r="B846" s="20">
        <v>80.48</v>
      </c>
      <c r="C846" s="20">
        <v>80</v>
      </c>
      <c r="D846" s="20">
        <v>-0.48</v>
      </c>
      <c r="E846" s="20">
        <v>0.03</v>
      </c>
      <c r="F846" s="20">
        <v>2355.5300000000002</v>
      </c>
      <c r="Q846" s="25">
        <v>84.5</v>
      </c>
      <c r="R846" s="20">
        <v>80</v>
      </c>
      <c r="S846" s="20">
        <v>80.47</v>
      </c>
      <c r="T846" s="20">
        <v>-0.47</v>
      </c>
      <c r="U846" s="20">
        <v>-0.01</v>
      </c>
      <c r="V846" s="20">
        <v>2001.31</v>
      </c>
    </row>
    <row r="847" spans="1:22" ht="16.8" x14ac:dyDescent="0.3">
      <c r="A847" s="20">
        <v>84.7</v>
      </c>
      <c r="B847" s="20">
        <v>80.45</v>
      </c>
      <c r="C847" s="20">
        <v>80</v>
      </c>
      <c r="D847" s="20">
        <v>-0.45</v>
      </c>
      <c r="E847" s="20">
        <v>0.03</v>
      </c>
      <c r="F847" s="20">
        <v>2355.41</v>
      </c>
      <c r="Q847" s="20">
        <v>84.6</v>
      </c>
      <c r="R847" s="20">
        <v>80</v>
      </c>
      <c r="S847" s="20">
        <v>80.430000000000007</v>
      </c>
      <c r="T847" s="20">
        <v>-0.43</v>
      </c>
      <c r="U847" s="20">
        <v>0.04</v>
      </c>
      <c r="V847" s="20">
        <v>2074.13</v>
      </c>
    </row>
    <row r="848" spans="1:22" ht="16.8" x14ac:dyDescent="0.3">
      <c r="A848" s="20">
        <v>84.8</v>
      </c>
      <c r="B848" s="20">
        <v>80.48</v>
      </c>
      <c r="C848" s="20">
        <v>80</v>
      </c>
      <c r="D848" s="20">
        <v>-0.48</v>
      </c>
      <c r="E848" s="20">
        <v>-0.03</v>
      </c>
      <c r="F848" s="20">
        <v>2293.52</v>
      </c>
      <c r="Q848" s="25">
        <v>84.7</v>
      </c>
      <c r="R848" s="20">
        <v>80</v>
      </c>
      <c r="S848" s="20">
        <v>80.41</v>
      </c>
      <c r="T848" s="20">
        <v>-0.41</v>
      </c>
      <c r="U848" s="20">
        <v>0.02</v>
      </c>
      <c r="V848" s="20">
        <v>2101.33</v>
      </c>
    </row>
    <row r="849" spans="1:22" ht="16.8" x14ac:dyDescent="0.3">
      <c r="A849" s="20">
        <v>84.9</v>
      </c>
      <c r="B849" s="20">
        <v>80.459999999999994</v>
      </c>
      <c r="C849" s="20">
        <v>80</v>
      </c>
      <c r="D849" s="20">
        <v>-0.46</v>
      </c>
      <c r="E849" s="20">
        <v>0.03</v>
      </c>
      <c r="F849" s="20">
        <v>2351.7800000000002</v>
      </c>
      <c r="Q849" s="25">
        <v>84.8</v>
      </c>
      <c r="R849" s="20">
        <v>80</v>
      </c>
      <c r="S849" s="20">
        <v>80.39</v>
      </c>
      <c r="T849" s="20">
        <v>-0.39</v>
      </c>
      <c r="U849" s="20">
        <v>0.02</v>
      </c>
      <c r="V849" s="20">
        <v>2127.31</v>
      </c>
    </row>
    <row r="850" spans="1:22" ht="16.8" x14ac:dyDescent="0.3">
      <c r="A850" s="20">
        <v>85</v>
      </c>
      <c r="B850" s="20">
        <v>80.489999999999995</v>
      </c>
      <c r="C850" s="20">
        <v>80</v>
      </c>
      <c r="D850" s="20">
        <v>-0.49</v>
      </c>
      <c r="E850" s="20">
        <v>-0.03</v>
      </c>
      <c r="F850" s="20">
        <v>2289.86</v>
      </c>
      <c r="Q850" s="20">
        <v>84.9</v>
      </c>
      <c r="R850" s="20">
        <v>80</v>
      </c>
      <c r="S850" s="20">
        <v>80.33</v>
      </c>
      <c r="T850" s="20">
        <v>-0.33</v>
      </c>
      <c r="U850" s="20">
        <v>0.06</v>
      </c>
      <c r="V850" s="20">
        <v>2194.67</v>
      </c>
    </row>
    <row r="851" spans="1:22" ht="16.8" x14ac:dyDescent="0.3">
      <c r="A851" s="20">
        <v>85.1</v>
      </c>
      <c r="B851" s="20">
        <v>80.45</v>
      </c>
      <c r="C851" s="20">
        <v>80</v>
      </c>
      <c r="D851" s="20">
        <v>-0.45</v>
      </c>
      <c r="E851" s="20">
        <v>0.04</v>
      </c>
      <c r="F851" s="20">
        <v>2356.87</v>
      </c>
      <c r="Q851" s="25">
        <v>85</v>
      </c>
      <c r="R851" s="20">
        <v>80</v>
      </c>
      <c r="S851" s="20">
        <v>80.260000000000005</v>
      </c>
      <c r="T851" s="20">
        <v>-0.26</v>
      </c>
      <c r="U851" s="20">
        <v>7.0000000000000007E-2</v>
      </c>
      <c r="V851" s="20">
        <v>2273.5</v>
      </c>
    </row>
    <row r="852" spans="1:22" ht="16.8" x14ac:dyDescent="0.3">
      <c r="A852" s="20">
        <v>85.2</v>
      </c>
      <c r="B852" s="20">
        <v>80.400000000000006</v>
      </c>
      <c r="C852" s="20">
        <v>80</v>
      </c>
      <c r="D852" s="20">
        <v>-0.4</v>
      </c>
      <c r="E852" s="20">
        <v>0.06</v>
      </c>
      <c r="F852" s="20">
        <v>2383.75</v>
      </c>
      <c r="Q852" s="20">
        <v>85.1</v>
      </c>
      <c r="R852" s="20">
        <v>80</v>
      </c>
      <c r="S852" s="20">
        <v>80.27</v>
      </c>
      <c r="T852" s="20">
        <v>-0.27</v>
      </c>
      <c r="U852" s="20">
        <v>-0.01</v>
      </c>
      <c r="V852" s="20">
        <v>2257.75</v>
      </c>
    </row>
    <row r="853" spans="1:22" ht="16.8" x14ac:dyDescent="0.3">
      <c r="A853" s="20">
        <v>85.3</v>
      </c>
      <c r="B853" s="20">
        <v>80.39</v>
      </c>
      <c r="C853" s="20">
        <v>80</v>
      </c>
      <c r="D853" s="20">
        <v>-0.39</v>
      </c>
      <c r="E853" s="20">
        <v>0</v>
      </c>
      <c r="F853" s="20">
        <v>2335.79</v>
      </c>
      <c r="Q853" s="25">
        <v>85.2</v>
      </c>
      <c r="R853" s="20">
        <v>80</v>
      </c>
      <c r="S853" s="20">
        <v>80.22</v>
      </c>
      <c r="T853" s="20">
        <v>-0.22</v>
      </c>
      <c r="U853" s="20">
        <v>0.05</v>
      </c>
      <c r="V853" s="20">
        <v>2319.31</v>
      </c>
    </row>
    <row r="854" spans="1:22" ht="16.8" x14ac:dyDescent="0.3">
      <c r="A854" s="20">
        <v>85.4</v>
      </c>
      <c r="B854" s="20">
        <v>80.38</v>
      </c>
      <c r="C854" s="20">
        <v>80</v>
      </c>
      <c r="D854" s="20">
        <v>-0.38</v>
      </c>
      <c r="E854" s="20">
        <v>0.02</v>
      </c>
      <c r="F854" s="20">
        <v>2348.41</v>
      </c>
      <c r="Q854" s="25">
        <v>85.3</v>
      </c>
      <c r="R854" s="20">
        <v>80</v>
      </c>
      <c r="S854" s="20">
        <v>80.209999999999994</v>
      </c>
      <c r="T854" s="20">
        <v>-0.21</v>
      </c>
      <c r="U854" s="20">
        <v>0.01</v>
      </c>
      <c r="V854" s="20">
        <v>2327.59</v>
      </c>
    </row>
    <row r="855" spans="1:22" ht="16.8" x14ac:dyDescent="0.3">
      <c r="A855" s="20">
        <v>85.5</v>
      </c>
      <c r="B855" s="20">
        <v>80.39</v>
      </c>
      <c r="C855" s="20">
        <v>80</v>
      </c>
      <c r="D855" s="20">
        <v>-0.39</v>
      </c>
      <c r="E855" s="20">
        <v>-0.01</v>
      </c>
      <c r="F855" s="20">
        <v>2319.5100000000002</v>
      </c>
      <c r="Q855" s="20">
        <v>85.4</v>
      </c>
      <c r="R855" s="20">
        <v>80</v>
      </c>
      <c r="S855" s="20">
        <v>80.13</v>
      </c>
      <c r="T855" s="20">
        <v>-0.13</v>
      </c>
      <c r="U855" s="20">
        <v>0.08</v>
      </c>
      <c r="V855" s="20">
        <v>2409.94</v>
      </c>
    </row>
    <row r="856" spans="1:22" ht="16.8" x14ac:dyDescent="0.3">
      <c r="A856" s="20">
        <v>85.6</v>
      </c>
      <c r="B856" s="20">
        <v>80.36</v>
      </c>
      <c r="C856" s="20">
        <v>80</v>
      </c>
      <c r="D856" s="20">
        <v>-0.36</v>
      </c>
      <c r="E856" s="20">
        <v>0.03</v>
      </c>
      <c r="F856" s="20">
        <v>2364.2199999999998</v>
      </c>
      <c r="Q856" s="25">
        <v>85.5</v>
      </c>
      <c r="R856" s="20">
        <v>80</v>
      </c>
      <c r="S856" s="20">
        <v>80.11</v>
      </c>
      <c r="T856" s="20">
        <v>-0.11</v>
      </c>
      <c r="U856" s="20">
        <v>0.01</v>
      </c>
      <c r="V856" s="20">
        <v>2422.6799999999998</v>
      </c>
    </row>
    <row r="857" spans="1:22" ht="16.8" x14ac:dyDescent="0.3">
      <c r="A857" s="20">
        <v>85.7</v>
      </c>
      <c r="B857" s="20">
        <v>80.34</v>
      </c>
      <c r="C857" s="20">
        <v>80</v>
      </c>
      <c r="D857" s="20">
        <v>-0.34</v>
      </c>
      <c r="E857" s="20">
        <v>0.02</v>
      </c>
      <c r="F857" s="20">
        <v>2355.7399999999998</v>
      </c>
      <c r="Q857" s="20">
        <v>85.6</v>
      </c>
      <c r="R857" s="20">
        <v>80</v>
      </c>
      <c r="S857" s="20">
        <v>80.099999999999994</v>
      </c>
      <c r="T857" s="20">
        <v>-0.1</v>
      </c>
      <c r="U857" s="20">
        <v>0.02</v>
      </c>
      <c r="V857" s="20">
        <v>2439.61</v>
      </c>
    </row>
    <row r="858" spans="1:22" ht="16.8" x14ac:dyDescent="0.3">
      <c r="A858" s="20">
        <v>85.8</v>
      </c>
      <c r="B858" s="20">
        <v>80.38</v>
      </c>
      <c r="C858" s="20">
        <v>80</v>
      </c>
      <c r="D858" s="20">
        <v>-0.38</v>
      </c>
      <c r="E858" s="20">
        <v>-0.05</v>
      </c>
      <c r="F858" s="20">
        <v>2284.0500000000002</v>
      </c>
      <c r="Q858" s="25">
        <v>85.7</v>
      </c>
      <c r="R858" s="20">
        <v>80</v>
      </c>
      <c r="S858" s="20">
        <v>80.040000000000006</v>
      </c>
      <c r="T858" s="20">
        <v>-0.04</v>
      </c>
      <c r="U858" s="20">
        <v>0.06</v>
      </c>
      <c r="V858" s="20">
        <v>2500.73</v>
      </c>
    </row>
    <row r="859" spans="1:22" ht="16.8" x14ac:dyDescent="0.3">
      <c r="A859" s="20">
        <v>85.9</v>
      </c>
      <c r="B859" s="20">
        <v>80.31</v>
      </c>
      <c r="C859" s="20">
        <v>80</v>
      </c>
      <c r="D859" s="20">
        <v>-0.31</v>
      </c>
      <c r="E859" s="20">
        <v>7.0000000000000007E-2</v>
      </c>
      <c r="F859" s="20">
        <v>2405.25</v>
      </c>
      <c r="Q859" s="25">
        <v>85.8</v>
      </c>
      <c r="R859" s="20">
        <v>80</v>
      </c>
      <c r="S859" s="20">
        <v>80.069999999999993</v>
      </c>
      <c r="T859" s="20">
        <v>-7.0000000000000007E-2</v>
      </c>
      <c r="U859" s="20">
        <v>-0.02</v>
      </c>
      <c r="V859" s="20">
        <v>2450.1799999999998</v>
      </c>
    </row>
    <row r="860" spans="1:22" ht="16.8" x14ac:dyDescent="0.3">
      <c r="A860" s="20">
        <v>86</v>
      </c>
      <c r="B860" s="20">
        <v>80.33</v>
      </c>
      <c r="C860" s="20">
        <v>80</v>
      </c>
      <c r="D860" s="20">
        <v>-0.33</v>
      </c>
      <c r="E860" s="20">
        <v>-0.02</v>
      </c>
      <c r="F860" s="20">
        <v>2316.7600000000002</v>
      </c>
      <c r="Q860" s="20">
        <v>85.9</v>
      </c>
      <c r="R860" s="20">
        <v>80</v>
      </c>
      <c r="S860" s="20">
        <v>80.02</v>
      </c>
      <c r="T860" s="20">
        <v>-0.02</v>
      </c>
      <c r="U860" s="20">
        <v>0.04</v>
      </c>
      <c r="V860" s="20">
        <v>2524.15</v>
      </c>
    </row>
    <row r="861" spans="1:22" ht="16.8" x14ac:dyDescent="0.3">
      <c r="A861" s="20">
        <v>86.1</v>
      </c>
      <c r="B861" s="20">
        <v>80.33</v>
      </c>
      <c r="C861" s="20">
        <v>80</v>
      </c>
      <c r="D861" s="20">
        <v>-0.33</v>
      </c>
      <c r="E861" s="20">
        <v>0</v>
      </c>
      <c r="F861" s="20">
        <v>2338.35</v>
      </c>
      <c r="Q861" s="25">
        <v>86</v>
      </c>
      <c r="R861" s="20">
        <v>80</v>
      </c>
      <c r="S861" s="20">
        <v>80.06</v>
      </c>
      <c r="T861" s="20">
        <v>-0.06</v>
      </c>
      <c r="U861" s="20">
        <v>-0.04</v>
      </c>
      <c r="V861" s="20">
        <v>2452.17</v>
      </c>
    </row>
    <row r="862" spans="1:22" ht="16.8" x14ac:dyDescent="0.3">
      <c r="A862" s="20">
        <v>86.2</v>
      </c>
      <c r="B862" s="20">
        <v>80.319999999999993</v>
      </c>
      <c r="C862" s="20">
        <v>80</v>
      </c>
      <c r="D862" s="20">
        <v>-0.32</v>
      </c>
      <c r="E862" s="20">
        <v>0</v>
      </c>
      <c r="F862" s="20">
        <v>2338.06</v>
      </c>
      <c r="Q862" s="20">
        <v>86.1</v>
      </c>
      <c r="R862" s="20">
        <v>80</v>
      </c>
      <c r="S862" s="20">
        <v>80.040000000000006</v>
      </c>
      <c r="T862" s="20">
        <v>-0.04</v>
      </c>
      <c r="U862" s="20">
        <v>0.02</v>
      </c>
      <c r="V862" s="20">
        <v>2501.21</v>
      </c>
    </row>
    <row r="863" spans="1:22" ht="16.8" x14ac:dyDescent="0.3">
      <c r="A863" s="20">
        <v>86.3</v>
      </c>
      <c r="B863" s="20">
        <v>80.290000000000006</v>
      </c>
      <c r="C863" s="20">
        <v>80</v>
      </c>
      <c r="D863" s="20">
        <v>-0.28999999999999998</v>
      </c>
      <c r="E863" s="20">
        <v>0.04</v>
      </c>
      <c r="F863" s="20">
        <v>2372.6999999999998</v>
      </c>
      <c r="Q863" s="25">
        <v>86.2</v>
      </c>
      <c r="R863" s="20">
        <v>80</v>
      </c>
      <c r="S863" s="20">
        <v>80.03</v>
      </c>
      <c r="T863" s="20">
        <v>-0.03</v>
      </c>
      <c r="U863" s="20">
        <v>0.02</v>
      </c>
      <c r="V863" s="20">
        <v>2519.63</v>
      </c>
    </row>
    <row r="864" spans="1:22" ht="16.8" x14ac:dyDescent="0.3">
      <c r="A864" s="20">
        <v>86.4</v>
      </c>
      <c r="B864" s="20">
        <v>80.319999999999993</v>
      </c>
      <c r="C864" s="20">
        <v>80</v>
      </c>
      <c r="D864" s="20">
        <v>-0.32</v>
      </c>
      <c r="E864" s="20">
        <v>-0.03</v>
      </c>
      <c r="F864" s="20">
        <v>2304.02</v>
      </c>
      <c r="Q864" s="25">
        <v>86.3</v>
      </c>
      <c r="R864" s="20">
        <v>80</v>
      </c>
      <c r="S864" s="20">
        <v>80.040000000000006</v>
      </c>
      <c r="T864" s="20">
        <v>-0.04</v>
      </c>
      <c r="U864" s="20">
        <v>-0.02</v>
      </c>
      <c r="V864" s="20">
        <v>2484.79</v>
      </c>
    </row>
    <row r="865" spans="1:22" ht="16.8" x14ac:dyDescent="0.3">
      <c r="A865" s="20">
        <v>86.5</v>
      </c>
      <c r="B865" s="20">
        <v>80.3</v>
      </c>
      <c r="C865" s="20">
        <v>80</v>
      </c>
      <c r="D865" s="20">
        <v>-0.3</v>
      </c>
      <c r="E865" s="20">
        <v>0.02</v>
      </c>
      <c r="F865" s="20">
        <v>2358.44</v>
      </c>
      <c r="Q865" s="20">
        <v>86.4</v>
      </c>
      <c r="R865" s="20">
        <v>80</v>
      </c>
      <c r="S865" s="20">
        <v>80.06</v>
      </c>
      <c r="T865" s="20">
        <v>-0.06</v>
      </c>
      <c r="U865" s="20">
        <v>-0.02</v>
      </c>
      <c r="V865" s="20">
        <v>2458.5700000000002</v>
      </c>
    </row>
    <row r="866" spans="1:22" ht="16.8" x14ac:dyDescent="0.3">
      <c r="A866" s="20">
        <v>86.6</v>
      </c>
      <c r="B866" s="20">
        <v>80.290000000000006</v>
      </c>
      <c r="C866" s="20">
        <v>80</v>
      </c>
      <c r="D866" s="20">
        <v>-0.28999999999999998</v>
      </c>
      <c r="E866" s="20">
        <v>0.01</v>
      </c>
      <c r="F866" s="20">
        <v>2344.35</v>
      </c>
      <c r="Q866" s="25">
        <v>86.5</v>
      </c>
      <c r="R866" s="20">
        <v>80</v>
      </c>
      <c r="S866" s="20">
        <v>80.11</v>
      </c>
      <c r="T866" s="20">
        <v>-0.11</v>
      </c>
      <c r="U866" s="20">
        <v>-0.05</v>
      </c>
      <c r="V866" s="20">
        <v>2380.2800000000002</v>
      </c>
    </row>
    <row r="867" spans="1:22" ht="16.8" x14ac:dyDescent="0.3">
      <c r="A867" s="20">
        <v>86.7</v>
      </c>
      <c r="B867" s="20">
        <v>80.28</v>
      </c>
      <c r="C867" s="20">
        <v>80</v>
      </c>
      <c r="D867" s="20">
        <v>-0.28000000000000003</v>
      </c>
      <c r="E867" s="20">
        <v>0</v>
      </c>
      <c r="F867" s="20">
        <v>2340.54</v>
      </c>
      <c r="Q867" s="20">
        <v>86.6</v>
      </c>
      <c r="R867" s="20">
        <v>80</v>
      </c>
      <c r="S867" s="20">
        <v>80.11</v>
      </c>
      <c r="T867" s="20">
        <v>-0.11</v>
      </c>
      <c r="U867" s="20">
        <v>0</v>
      </c>
      <c r="V867" s="20">
        <v>2431.14</v>
      </c>
    </row>
    <row r="868" spans="1:22" ht="16.8" x14ac:dyDescent="0.3">
      <c r="A868" s="20">
        <v>86.8</v>
      </c>
      <c r="B868" s="20">
        <v>80.33</v>
      </c>
      <c r="C868" s="20">
        <v>80</v>
      </c>
      <c r="D868" s="20">
        <v>-0.33</v>
      </c>
      <c r="E868" s="20">
        <v>-0.05</v>
      </c>
      <c r="F868" s="20">
        <v>2283.5700000000002</v>
      </c>
      <c r="Q868" s="25">
        <v>86.7</v>
      </c>
      <c r="R868" s="20">
        <v>80</v>
      </c>
      <c r="S868" s="20">
        <v>80.16</v>
      </c>
      <c r="T868" s="20">
        <v>-0.16</v>
      </c>
      <c r="U868" s="20">
        <v>-0.06</v>
      </c>
      <c r="V868" s="20">
        <v>2320.08</v>
      </c>
    </row>
    <row r="869" spans="1:22" ht="16.8" x14ac:dyDescent="0.3">
      <c r="A869" s="20">
        <v>86.9</v>
      </c>
      <c r="B869" s="20">
        <v>80.27</v>
      </c>
      <c r="C869" s="20">
        <v>80</v>
      </c>
      <c r="D869" s="20">
        <v>-0.27</v>
      </c>
      <c r="E869" s="20">
        <v>0.06</v>
      </c>
      <c r="F869" s="20">
        <v>2391.87</v>
      </c>
      <c r="Q869" s="25">
        <v>86.8</v>
      </c>
      <c r="R869" s="20">
        <v>80</v>
      </c>
      <c r="S869" s="20">
        <v>80.13</v>
      </c>
      <c r="T869" s="20">
        <v>-0.13</v>
      </c>
      <c r="U869" s="20">
        <v>0.04</v>
      </c>
      <c r="V869" s="20">
        <v>2410.08</v>
      </c>
    </row>
    <row r="870" spans="1:22" ht="16.8" x14ac:dyDescent="0.3">
      <c r="A870" s="20">
        <v>87</v>
      </c>
      <c r="B870" s="20">
        <v>80.27</v>
      </c>
      <c r="C870" s="20">
        <v>80</v>
      </c>
      <c r="D870" s="20">
        <v>-0.27</v>
      </c>
      <c r="E870" s="20">
        <v>0</v>
      </c>
      <c r="F870" s="20">
        <v>2336.2800000000002</v>
      </c>
      <c r="Q870" s="20">
        <v>86.9</v>
      </c>
      <c r="R870" s="20">
        <v>80</v>
      </c>
      <c r="S870" s="20">
        <v>80.14</v>
      </c>
      <c r="T870" s="20">
        <v>-0.14000000000000001</v>
      </c>
      <c r="U870" s="20">
        <v>-0.02</v>
      </c>
      <c r="V870" s="20">
        <v>2378.17</v>
      </c>
    </row>
    <row r="871" spans="1:22" ht="16.8" x14ac:dyDescent="0.3">
      <c r="A871" s="20">
        <v>87.1</v>
      </c>
      <c r="B871" s="20">
        <v>80.260000000000005</v>
      </c>
      <c r="C871" s="20">
        <v>80</v>
      </c>
      <c r="D871" s="20">
        <v>-0.26</v>
      </c>
      <c r="E871" s="20">
        <v>0.01</v>
      </c>
      <c r="F871" s="20">
        <v>2344.19</v>
      </c>
      <c r="Q871" s="25">
        <v>87</v>
      </c>
      <c r="R871" s="20">
        <v>80</v>
      </c>
      <c r="S871" s="20">
        <v>80.25</v>
      </c>
      <c r="T871" s="20">
        <v>-0.25</v>
      </c>
      <c r="U871" s="20">
        <v>-0.1</v>
      </c>
      <c r="V871" s="20">
        <v>2191.8000000000002</v>
      </c>
    </row>
    <row r="872" spans="1:22" ht="16.8" x14ac:dyDescent="0.3">
      <c r="A872" s="20">
        <v>87.2</v>
      </c>
      <c r="B872" s="20">
        <v>80.260000000000005</v>
      </c>
      <c r="C872" s="20">
        <v>80</v>
      </c>
      <c r="D872" s="20">
        <v>-0.26</v>
      </c>
      <c r="E872" s="20">
        <v>0.01</v>
      </c>
      <c r="F872" s="20">
        <v>2344.79</v>
      </c>
      <c r="Q872" s="20">
        <v>87.1</v>
      </c>
      <c r="R872" s="20">
        <v>80</v>
      </c>
      <c r="S872" s="20">
        <v>80.23</v>
      </c>
      <c r="T872" s="20">
        <v>-0.23</v>
      </c>
      <c r="U872" s="20">
        <v>0.02</v>
      </c>
      <c r="V872" s="20">
        <v>2302.79</v>
      </c>
    </row>
    <row r="873" spans="1:22" ht="16.8" x14ac:dyDescent="0.3">
      <c r="A873" s="20">
        <v>87.3</v>
      </c>
      <c r="B873" s="20">
        <v>80.22</v>
      </c>
      <c r="C873" s="20">
        <v>80</v>
      </c>
      <c r="D873" s="20">
        <v>-0.22</v>
      </c>
      <c r="E873" s="20">
        <v>0.03</v>
      </c>
      <c r="F873" s="20">
        <v>2371.65</v>
      </c>
      <c r="Q873" s="25">
        <v>87.2</v>
      </c>
      <c r="R873" s="20">
        <v>80</v>
      </c>
      <c r="S873" s="20">
        <v>80.239999999999995</v>
      </c>
      <c r="T873" s="20">
        <v>-0.24</v>
      </c>
      <c r="U873" s="20">
        <v>0</v>
      </c>
      <c r="V873" s="20">
        <v>2294.9499999999998</v>
      </c>
    </row>
    <row r="874" spans="1:22" ht="16.8" x14ac:dyDescent="0.3">
      <c r="A874" s="20">
        <v>87.4</v>
      </c>
      <c r="B874" s="20">
        <v>80.209999999999994</v>
      </c>
      <c r="C874" s="20">
        <v>80</v>
      </c>
      <c r="D874" s="20">
        <v>-0.21</v>
      </c>
      <c r="E874" s="20">
        <v>0.02</v>
      </c>
      <c r="F874" s="20">
        <v>2359.21</v>
      </c>
      <c r="Q874" s="25">
        <v>87.3</v>
      </c>
      <c r="R874" s="20">
        <v>80</v>
      </c>
      <c r="S874" s="20">
        <v>80.33</v>
      </c>
      <c r="T874" s="20">
        <v>-0.33</v>
      </c>
      <c r="U874" s="20">
        <v>-0.09</v>
      </c>
      <c r="V874" s="20">
        <v>2116.73</v>
      </c>
    </row>
    <row r="875" spans="1:22" ht="16.8" x14ac:dyDescent="0.3">
      <c r="A875" s="20">
        <v>87.5</v>
      </c>
      <c r="B875" s="20">
        <v>80.19</v>
      </c>
      <c r="C875" s="20">
        <v>80</v>
      </c>
      <c r="D875" s="20">
        <v>-0.19</v>
      </c>
      <c r="E875" s="20">
        <v>0.01</v>
      </c>
      <c r="F875" s="20">
        <v>2357.0700000000002</v>
      </c>
      <c r="Q875" s="20">
        <v>87.4</v>
      </c>
      <c r="R875" s="20">
        <v>80</v>
      </c>
      <c r="S875" s="20">
        <v>80.349999999999994</v>
      </c>
      <c r="T875" s="20">
        <v>-0.35</v>
      </c>
      <c r="U875" s="20">
        <v>-0.02</v>
      </c>
      <c r="V875" s="20">
        <v>2149.71</v>
      </c>
    </row>
    <row r="876" spans="1:22" ht="16.8" x14ac:dyDescent="0.3">
      <c r="A876" s="20">
        <v>87.6</v>
      </c>
      <c r="B876" s="20">
        <v>80.19</v>
      </c>
      <c r="C876" s="20">
        <v>80</v>
      </c>
      <c r="D876" s="20">
        <v>-0.19</v>
      </c>
      <c r="E876" s="20">
        <v>0.01</v>
      </c>
      <c r="F876" s="20">
        <v>2354.25</v>
      </c>
      <c r="Q876" s="25">
        <v>87.5</v>
      </c>
      <c r="R876" s="20">
        <v>80</v>
      </c>
      <c r="S876" s="20">
        <v>80.349999999999994</v>
      </c>
      <c r="T876" s="20">
        <v>-0.35</v>
      </c>
      <c r="U876" s="20">
        <v>0</v>
      </c>
      <c r="V876" s="20">
        <v>2176.14</v>
      </c>
    </row>
    <row r="877" spans="1:22" ht="16.8" x14ac:dyDescent="0.3">
      <c r="A877" s="20">
        <v>87.7</v>
      </c>
      <c r="B877" s="20">
        <v>80.17</v>
      </c>
      <c r="C877" s="20">
        <v>80</v>
      </c>
      <c r="D877" s="20">
        <v>-0.17</v>
      </c>
      <c r="E877" s="20">
        <v>0.02</v>
      </c>
      <c r="F877" s="20">
        <v>2363.84</v>
      </c>
      <c r="Q877" s="25">
        <v>87.6</v>
      </c>
      <c r="R877" s="20">
        <v>80</v>
      </c>
      <c r="S877" s="20">
        <v>80.36</v>
      </c>
      <c r="T877" s="20">
        <v>-0.36</v>
      </c>
      <c r="U877" s="20">
        <v>-0.02</v>
      </c>
      <c r="V877" s="20">
        <v>2142.59</v>
      </c>
    </row>
    <row r="878" spans="1:22" ht="16.8" x14ac:dyDescent="0.3">
      <c r="A878" s="20">
        <v>87.8</v>
      </c>
      <c r="B878" s="20">
        <v>80.150000000000006</v>
      </c>
      <c r="C878" s="20">
        <v>80</v>
      </c>
      <c r="D878" s="20">
        <v>-0.15</v>
      </c>
      <c r="E878" s="20">
        <v>0.02</v>
      </c>
      <c r="F878" s="20">
        <v>2374.92</v>
      </c>
      <c r="Q878" s="20">
        <v>87.7</v>
      </c>
      <c r="R878" s="20">
        <v>80</v>
      </c>
      <c r="S878" s="20">
        <v>80.37</v>
      </c>
      <c r="T878" s="20">
        <v>-0.37</v>
      </c>
      <c r="U878" s="20">
        <v>0</v>
      </c>
      <c r="V878" s="20">
        <v>2148.59</v>
      </c>
    </row>
    <row r="879" spans="1:22" ht="16.8" x14ac:dyDescent="0.3">
      <c r="A879" s="20">
        <v>87.9</v>
      </c>
      <c r="B879" s="20">
        <v>80.11</v>
      </c>
      <c r="C879" s="20">
        <v>80</v>
      </c>
      <c r="D879" s="20">
        <v>-0.11</v>
      </c>
      <c r="E879" s="20">
        <v>0.04</v>
      </c>
      <c r="F879" s="20">
        <v>2396.25</v>
      </c>
      <c r="Q879" s="25">
        <v>87.8</v>
      </c>
      <c r="R879" s="20">
        <v>80</v>
      </c>
      <c r="S879" s="20">
        <v>80.37</v>
      </c>
      <c r="T879" s="20">
        <v>-0.37</v>
      </c>
      <c r="U879" s="20">
        <v>0</v>
      </c>
      <c r="V879" s="20">
        <v>2143.66</v>
      </c>
    </row>
    <row r="880" spans="1:22" ht="16.8" x14ac:dyDescent="0.3">
      <c r="A880" s="20">
        <v>88</v>
      </c>
      <c r="B880" s="20">
        <v>80.17</v>
      </c>
      <c r="C880" s="20">
        <v>80</v>
      </c>
      <c r="D880" s="20">
        <v>-0.17</v>
      </c>
      <c r="E880" s="20">
        <v>-0.06</v>
      </c>
      <c r="F880" s="20">
        <v>2289.5100000000002</v>
      </c>
      <c r="Q880" s="20">
        <v>87.9</v>
      </c>
      <c r="R880" s="20">
        <v>80</v>
      </c>
      <c r="S880" s="20">
        <v>80.430000000000007</v>
      </c>
      <c r="T880" s="20">
        <v>-0.43</v>
      </c>
      <c r="U880" s="20">
        <v>-0.06</v>
      </c>
      <c r="V880" s="20">
        <v>2023.21</v>
      </c>
    </row>
    <row r="881" spans="1:22" ht="16.8" x14ac:dyDescent="0.3">
      <c r="A881" s="20">
        <v>88.1</v>
      </c>
      <c r="B881" s="20">
        <v>80.19</v>
      </c>
      <c r="C881" s="20">
        <v>80</v>
      </c>
      <c r="D881" s="20">
        <v>-0.19</v>
      </c>
      <c r="E881" s="20">
        <v>-0.02</v>
      </c>
      <c r="F881" s="20">
        <v>2321.1999999999998</v>
      </c>
      <c r="Q881" s="25">
        <v>88</v>
      </c>
      <c r="R881" s="20">
        <v>80</v>
      </c>
      <c r="S881" s="20">
        <v>80.42</v>
      </c>
      <c r="T881" s="20">
        <v>-0.42</v>
      </c>
      <c r="U881" s="20">
        <v>0.01</v>
      </c>
      <c r="V881" s="20">
        <v>2090.65</v>
      </c>
    </row>
    <row r="882" spans="1:22" ht="16.8" x14ac:dyDescent="0.3">
      <c r="A882" s="20">
        <v>88.2</v>
      </c>
      <c r="B882" s="20">
        <v>80.14</v>
      </c>
      <c r="C882" s="20">
        <v>80</v>
      </c>
      <c r="D882" s="20">
        <v>-0.14000000000000001</v>
      </c>
      <c r="E882" s="20">
        <v>0.05</v>
      </c>
      <c r="F882" s="20">
        <v>2399.27</v>
      </c>
      <c r="Q882" s="25">
        <v>88.1</v>
      </c>
      <c r="R882" s="20">
        <v>80</v>
      </c>
      <c r="S882" s="20">
        <v>80.39</v>
      </c>
      <c r="T882" s="20">
        <v>-0.39</v>
      </c>
      <c r="U882" s="20">
        <v>0.02</v>
      </c>
      <c r="V882" s="20">
        <v>2122.23</v>
      </c>
    </row>
    <row r="883" spans="1:22" ht="16.8" x14ac:dyDescent="0.3">
      <c r="A883" s="20">
        <v>88.3</v>
      </c>
      <c r="B883" s="20">
        <v>80.13</v>
      </c>
      <c r="C883" s="20">
        <v>80</v>
      </c>
      <c r="D883" s="20">
        <v>-0.13</v>
      </c>
      <c r="E883" s="20">
        <v>0.01</v>
      </c>
      <c r="F883" s="20">
        <v>2360.11</v>
      </c>
      <c r="Q883" s="20">
        <v>88.2</v>
      </c>
      <c r="R883" s="20">
        <v>80</v>
      </c>
      <c r="S883" s="20">
        <v>80.37</v>
      </c>
      <c r="T883" s="20">
        <v>-0.37</v>
      </c>
      <c r="U883" s="20">
        <v>0.02</v>
      </c>
      <c r="V883" s="20">
        <v>2152.21</v>
      </c>
    </row>
    <row r="884" spans="1:22" ht="16.8" x14ac:dyDescent="0.3">
      <c r="A884" s="20">
        <v>88.4</v>
      </c>
      <c r="B884" s="20">
        <v>80.14</v>
      </c>
      <c r="C884" s="20">
        <v>80</v>
      </c>
      <c r="D884" s="20">
        <v>-0.14000000000000001</v>
      </c>
      <c r="E884" s="20">
        <v>-0.01</v>
      </c>
      <c r="F884" s="20">
        <v>2343.66</v>
      </c>
      <c r="Q884" s="25">
        <v>88.3</v>
      </c>
      <c r="R884" s="20">
        <v>80</v>
      </c>
      <c r="S884" s="20">
        <v>80.349999999999994</v>
      </c>
      <c r="T884" s="20">
        <v>-0.35</v>
      </c>
      <c r="U884" s="20">
        <v>0.02</v>
      </c>
      <c r="V884" s="20">
        <v>2171.42</v>
      </c>
    </row>
    <row r="885" spans="1:22" ht="16.8" x14ac:dyDescent="0.3">
      <c r="A885" s="20">
        <v>88.5</v>
      </c>
      <c r="B885" s="20">
        <v>80.14</v>
      </c>
      <c r="C885" s="20">
        <v>80</v>
      </c>
      <c r="D885" s="20">
        <v>-0.14000000000000001</v>
      </c>
      <c r="E885" s="20">
        <v>0</v>
      </c>
      <c r="F885" s="20">
        <v>2354.88</v>
      </c>
      <c r="Q885" s="25">
        <v>88.4</v>
      </c>
      <c r="R885" s="20">
        <v>80</v>
      </c>
      <c r="S885" s="20">
        <v>80.34</v>
      </c>
      <c r="T885" s="20">
        <v>-0.34</v>
      </c>
      <c r="U885" s="20">
        <v>0.01</v>
      </c>
      <c r="V885" s="20">
        <v>2180.8200000000002</v>
      </c>
    </row>
    <row r="886" spans="1:22" ht="16.8" x14ac:dyDescent="0.3">
      <c r="A886" s="20">
        <v>88.6</v>
      </c>
      <c r="B886" s="20">
        <v>80.14</v>
      </c>
      <c r="C886" s="20">
        <v>80</v>
      </c>
      <c r="D886" s="20">
        <v>-0.14000000000000001</v>
      </c>
      <c r="E886" s="20">
        <v>0</v>
      </c>
      <c r="F886" s="20">
        <v>2350.8000000000002</v>
      </c>
      <c r="Q886" s="20">
        <v>88.5</v>
      </c>
      <c r="R886" s="20">
        <v>80</v>
      </c>
      <c r="S886" s="20">
        <v>80.31</v>
      </c>
      <c r="T886" s="20">
        <v>-0.31</v>
      </c>
      <c r="U886" s="20">
        <v>0.04</v>
      </c>
      <c r="V886" s="20">
        <v>2221.69</v>
      </c>
    </row>
    <row r="887" spans="1:22" ht="16.8" x14ac:dyDescent="0.3">
      <c r="A887" s="20">
        <v>88.7</v>
      </c>
      <c r="B887" s="20">
        <v>80.099999999999994</v>
      </c>
      <c r="C887" s="20">
        <v>80</v>
      </c>
      <c r="D887" s="20">
        <v>-0.1</v>
      </c>
      <c r="E887" s="20">
        <v>0.04</v>
      </c>
      <c r="F887" s="20">
        <v>2389.69</v>
      </c>
      <c r="Q887" s="25">
        <v>88.6</v>
      </c>
      <c r="R887" s="20">
        <v>80</v>
      </c>
      <c r="S887" s="20">
        <v>80.319999999999993</v>
      </c>
      <c r="T887" s="20">
        <v>-0.32</v>
      </c>
      <c r="U887" s="20">
        <v>-0.01</v>
      </c>
      <c r="V887" s="20">
        <v>2205.5500000000002</v>
      </c>
    </row>
    <row r="888" spans="1:22" ht="16.8" x14ac:dyDescent="0.3">
      <c r="A888" s="20">
        <v>88.8</v>
      </c>
      <c r="B888" s="20">
        <v>80.17</v>
      </c>
      <c r="C888" s="20">
        <v>80</v>
      </c>
      <c r="D888" s="20">
        <v>-0.17</v>
      </c>
      <c r="E888" s="20">
        <v>-7.0000000000000007E-2</v>
      </c>
      <c r="F888" s="20">
        <v>2277.9</v>
      </c>
      <c r="Q888" s="20">
        <v>88.7</v>
      </c>
      <c r="R888" s="20">
        <v>80</v>
      </c>
      <c r="S888" s="20">
        <v>80.25</v>
      </c>
      <c r="T888" s="20">
        <v>-0.25</v>
      </c>
      <c r="U888" s="20">
        <v>0.06</v>
      </c>
      <c r="V888" s="20">
        <v>2281.9299999999998</v>
      </c>
    </row>
    <row r="889" spans="1:22" ht="16.8" x14ac:dyDescent="0.3">
      <c r="A889" s="20">
        <v>88.9</v>
      </c>
      <c r="B889" s="20">
        <v>80.17</v>
      </c>
      <c r="C889" s="20">
        <v>80</v>
      </c>
      <c r="D889" s="20">
        <v>-0.17</v>
      </c>
      <c r="E889" s="20">
        <v>0.01</v>
      </c>
      <c r="F889" s="20">
        <v>2351.8000000000002</v>
      </c>
      <c r="Q889" s="25">
        <v>88.8</v>
      </c>
      <c r="R889" s="20">
        <v>80</v>
      </c>
      <c r="S889" s="20">
        <v>80.22</v>
      </c>
      <c r="T889" s="20">
        <v>-0.22</v>
      </c>
      <c r="U889" s="20">
        <v>0.03</v>
      </c>
      <c r="V889" s="20">
        <v>2315.1799999999998</v>
      </c>
    </row>
    <row r="890" spans="1:22" ht="16.8" x14ac:dyDescent="0.3">
      <c r="A890" s="20">
        <v>89</v>
      </c>
      <c r="B890" s="20">
        <v>80.13</v>
      </c>
      <c r="C890" s="20">
        <v>80</v>
      </c>
      <c r="D890" s="20">
        <v>-0.13</v>
      </c>
      <c r="E890" s="20">
        <v>0.03</v>
      </c>
      <c r="F890" s="20">
        <v>2378.91</v>
      </c>
      <c r="Q890" s="25">
        <v>88.9</v>
      </c>
      <c r="R890" s="20">
        <v>80</v>
      </c>
      <c r="S890" s="20">
        <v>80.260000000000005</v>
      </c>
      <c r="T890" s="20">
        <v>-0.26</v>
      </c>
      <c r="U890" s="20">
        <v>-0.04</v>
      </c>
      <c r="V890" s="20">
        <v>2237.12</v>
      </c>
    </row>
    <row r="891" spans="1:22" ht="16.8" x14ac:dyDescent="0.3">
      <c r="A891" s="20">
        <v>89.1</v>
      </c>
      <c r="B891" s="20">
        <v>80.19</v>
      </c>
      <c r="C891" s="20">
        <v>80</v>
      </c>
      <c r="D891" s="20">
        <v>-0.19</v>
      </c>
      <c r="E891" s="20">
        <v>-0.06</v>
      </c>
      <c r="F891" s="20">
        <v>2283.79</v>
      </c>
      <c r="Q891" s="20">
        <v>89</v>
      </c>
      <c r="R891" s="20">
        <v>80</v>
      </c>
      <c r="S891" s="20">
        <v>80.239999999999995</v>
      </c>
      <c r="T891" s="20">
        <v>-0.24</v>
      </c>
      <c r="U891" s="20">
        <v>0.02</v>
      </c>
      <c r="V891" s="20">
        <v>2290.2800000000002</v>
      </c>
    </row>
    <row r="892" spans="1:22" ht="16.8" x14ac:dyDescent="0.3">
      <c r="A892" s="20">
        <v>89.2</v>
      </c>
      <c r="B892" s="20">
        <v>80.16</v>
      </c>
      <c r="C892" s="20">
        <v>80</v>
      </c>
      <c r="D892" s="20">
        <v>-0.16</v>
      </c>
      <c r="E892" s="20">
        <v>0.04</v>
      </c>
      <c r="F892" s="20">
        <v>2377.25</v>
      </c>
      <c r="Q892" s="25">
        <v>89.1</v>
      </c>
      <c r="R892" s="20">
        <v>80</v>
      </c>
      <c r="S892" s="20">
        <v>80.22</v>
      </c>
      <c r="T892" s="20">
        <v>-0.22</v>
      </c>
      <c r="U892" s="20">
        <v>0.03</v>
      </c>
      <c r="V892" s="20">
        <v>2319.31</v>
      </c>
    </row>
    <row r="893" spans="1:22" ht="16.8" x14ac:dyDescent="0.3">
      <c r="A893" s="20">
        <v>89.3</v>
      </c>
      <c r="B893" s="20">
        <v>80.150000000000006</v>
      </c>
      <c r="C893" s="20">
        <v>80</v>
      </c>
      <c r="D893" s="20">
        <v>-0.15</v>
      </c>
      <c r="E893" s="20">
        <v>0.01</v>
      </c>
      <c r="F893" s="20">
        <v>2352.64</v>
      </c>
      <c r="Q893" s="25">
        <v>89.2</v>
      </c>
      <c r="R893" s="20">
        <v>80</v>
      </c>
      <c r="S893" s="20">
        <v>80.180000000000007</v>
      </c>
      <c r="T893" s="20">
        <v>-0.18</v>
      </c>
      <c r="U893" s="20">
        <v>0.03</v>
      </c>
      <c r="V893" s="20">
        <v>2352.2399999999998</v>
      </c>
    </row>
    <row r="894" spans="1:22" ht="16.8" x14ac:dyDescent="0.3">
      <c r="A894" s="20">
        <v>89.4</v>
      </c>
      <c r="B894" s="20">
        <v>80.150000000000006</v>
      </c>
      <c r="C894" s="20">
        <v>80</v>
      </c>
      <c r="D894" s="20">
        <v>-0.15</v>
      </c>
      <c r="E894" s="20">
        <v>0</v>
      </c>
      <c r="F894" s="20">
        <v>2340.5</v>
      </c>
      <c r="Q894" s="20">
        <v>89.3</v>
      </c>
      <c r="R894" s="20">
        <v>80</v>
      </c>
      <c r="S894" s="20">
        <v>80.16</v>
      </c>
      <c r="T894" s="20">
        <v>-0.16</v>
      </c>
      <c r="U894" s="20">
        <v>0.02</v>
      </c>
      <c r="V894" s="20">
        <v>2372.7800000000002</v>
      </c>
    </row>
    <row r="895" spans="1:22" ht="16.8" x14ac:dyDescent="0.3">
      <c r="A895" s="20">
        <v>89.5</v>
      </c>
      <c r="B895" s="20">
        <v>80.16</v>
      </c>
      <c r="C895" s="20">
        <v>80</v>
      </c>
      <c r="D895" s="20">
        <v>-0.16</v>
      </c>
      <c r="E895" s="20">
        <v>-0.01</v>
      </c>
      <c r="F895" s="20">
        <v>2334.94</v>
      </c>
      <c r="Q895" s="25">
        <v>89.4</v>
      </c>
      <c r="R895" s="20">
        <v>80</v>
      </c>
      <c r="S895" s="20">
        <v>80.19</v>
      </c>
      <c r="T895" s="20">
        <v>-0.19</v>
      </c>
      <c r="U895" s="20">
        <v>-0.03</v>
      </c>
      <c r="V895" s="20">
        <v>2317.9</v>
      </c>
    </row>
    <row r="896" spans="1:22" ht="16.8" x14ac:dyDescent="0.3">
      <c r="A896" s="20">
        <v>89.6</v>
      </c>
      <c r="B896" s="20">
        <v>80.13</v>
      </c>
      <c r="C896" s="20">
        <v>80</v>
      </c>
      <c r="D896" s="20">
        <v>-0.13</v>
      </c>
      <c r="E896" s="20">
        <v>0.04</v>
      </c>
      <c r="F896" s="20">
        <v>2381.04</v>
      </c>
      <c r="Q896" s="20">
        <v>89.5</v>
      </c>
      <c r="R896" s="20">
        <v>80</v>
      </c>
      <c r="S896" s="20">
        <v>80.11</v>
      </c>
      <c r="T896" s="20">
        <v>-0.11</v>
      </c>
      <c r="U896" s="20">
        <v>0.08</v>
      </c>
      <c r="V896" s="20">
        <v>2422.3000000000002</v>
      </c>
    </row>
    <row r="897" spans="1:22" ht="16.8" x14ac:dyDescent="0.3">
      <c r="A897" s="20">
        <v>89.7</v>
      </c>
      <c r="B897" s="20">
        <v>80.13</v>
      </c>
      <c r="C897" s="20">
        <v>80</v>
      </c>
      <c r="D897" s="20">
        <v>-0.13</v>
      </c>
      <c r="E897" s="20">
        <v>0</v>
      </c>
      <c r="F897" s="20">
        <v>2347.8000000000002</v>
      </c>
      <c r="Q897" s="25">
        <v>89.6</v>
      </c>
      <c r="R897" s="20">
        <v>80</v>
      </c>
      <c r="S897" s="20">
        <v>80.13</v>
      </c>
      <c r="T897" s="20">
        <v>-0.13</v>
      </c>
      <c r="U897" s="20">
        <v>-0.02</v>
      </c>
      <c r="V897" s="20">
        <v>2382.58</v>
      </c>
    </row>
    <row r="898" spans="1:22" ht="16.8" x14ac:dyDescent="0.3">
      <c r="A898" s="20">
        <v>89.8</v>
      </c>
      <c r="B898" s="20">
        <v>80.11</v>
      </c>
      <c r="C898" s="20">
        <v>80</v>
      </c>
      <c r="D898" s="20">
        <v>-0.11</v>
      </c>
      <c r="E898" s="20">
        <v>0.02</v>
      </c>
      <c r="F898" s="20">
        <v>2364.87</v>
      </c>
      <c r="Q898" s="25">
        <v>89.7</v>
      </c>
      <c r="R898" s="20">
        <v>80</v>
      </c>
      <c r="S898" s="20">
        <v>80.09</v>
      </c>
      <c r="T898" s="20">
        <v>-0.09</v>
      </c>
      <c r="U898" s="20">
        <v>0.04</v>
      </c>
      <c r="V898" s="20">
        <v>2443.88</v>
      </c>
    </row>
    <row r="899" spans="1:22" ht="16.8" x14ac:dyDescent="0.3">
      <c r="A899" s="20">
        <v>89.9</v>
      </c>
      <c r="B899" s="20">
        <v>80.099999999999994</v>
      </c>
      <c r="C899" s="20">
        <v>80</v>
      </c>
      <c r="D899" s="20">
        <v>-0.1</v>
      </c>
      <c r="E899" s="20">
        <v>0.01</v>
      </c>
      <c r="F899" s="20">
        <v>2363.0500000000002</v>
      </c>
      <c r="Q899" s="20">
        <v>89.8</v>
      </c>
      <c r="R899" s="20">
        <v>80</v>
      </c>
      <c r="S899" s="20">
        <v>80.14</v>
      </c>
      <c r="T899" s="20">
        <v>-0.14000000000000001</v>
      </c>
      <c r="U899" s="20">
        <v>-0.05</v>
      </c>
      <c r="V899" s="20">
        <v>2347.73</v>
      </c>
    </row>
    <row r="900" spans="1:22" ht="16.8" x14ac:dyDescent="0.3">
      <c r="A900" s="20">
        <v>90</v>
      </c>
      <c r="B900" s="20">
        <v>80.13</v>
      </c>
      <c r="C900" s="20">
        <v>80</v>
      </c>
      <c r="D900" s="20">
        <v>-0.13</v>
      </c>
      <c r="E900" s="20">
        <v>-0.03</v>
      </c>
      <c r="F900" s="20">
        <v>2316.83</v>
      </c>
      <c r="Q900" s="25">
        <v>89.9</v>
      </c>
      <c r="R900" s="20">
        <v>80</v>
      </c>
      <c r="S900" s="20">
        <v>80.12</v>
      </c>
      <c r="T900" s="20">
        <v>-0.12</v>
      </c>
      <c r="U900" s="20">
        <v>0.02</v>
      </c>
      <c r="V900" s="20">
        <v>2418.4299999999998</v>
      </c>
    </row>
    <row r="901" spans="1:22" ht="16.8" x14ac:dyDescent="0.3">
      <c r="A901" s="20">
        <v>90.1</v>
      </c>
      <c r="B901" s="20">
        <v>80.09</v>
      </c>
      <c r="C901" s="20">
        <v>80</v>
      </c>
      <c r="D901" s="20">
        <v>-0.09</v>
      </c>
      <c r="E901" s="20">
        <v>0.04</v>
      </c>
      <c r="F901" s="20">
        <v>2389.3200000000002</v>
      </c>
      <c r="Q901" s="20">
        <v>90</v>
      </c>
      <c r="R901" s="20">
        <v>80</v>
      </c>
      <c r="S901" s="20">
        <v>80.16</v>
      </c>
      <c r="T901" s="20">
        <v>-0.16</v>
      </c>
      <c r="U901" s="20">
        <v>-0.04</v>
      </c>
      <c r="V901" s="20">
        <v>2331.36</v>
      </c>
    </row>
    <row r="902" spans="1:22" ht="16.8" x14ac:dyDescent="0.3">
      <c r="A902" s="20">
        <v>90.2</v>
      </c>
      <c r="B902" s="20">
        <v>80.12</v>
      </c>
      <c r="C902" s="20">
        <v>80</v>
      </c>
      <c r="D902" s="20">
        <v>-0.12</v>
      </c>
      <c r="E902" s="20">
        <v>-0.03</v>
      </c>
      <c r="F902" s="20">
        <v>2317.6</v>
      </c>
      <c r="Q902" s="25">
        <v>90.1</v>
      </c>
      <c r="R902" s="20">
        <v>80</v>
      </c>
      <c r="S902" s="20">
        <v>80.14</v>
      </c>
      <c r="T902" s="20">
        <v>-0.14000000000000001</v>
      </c>
      <c r="U902" s="20">
        <v>0.02</v>
      </c>
      <c r="V902" s="20">
        <v>2397.58</v>
      </c>
    </row>
    <row r="903" spans="1:22" ht="16.8" x14ac:dyDescent="0.3">
      <c r="A903" s="20">
        <v>90.3</v>
      </c>
      <c r="B903" s="20">
        <v>80.099999999999994</v>
      </c>
      <c r="C903" s="20">
        <v>80</v>
      </c>
      <c r="D903" s="20">
        <v>-0.1</v>
      </c>
      <c r="E903" s="20">
        <v>0.02</v>
      </c>
      <c r="F903" s="20">
        <v>2372.62</v>
      </c>
      <c r="Q903" s="25">
        <v>90.2</v>
      </c>
      <c r="R903" s="20">
        <v>80</v>
      </c>
      <c r="S903" s="20">
        <v>80.19</v>
      </c>
      <c r="T903" s="20">
        <v>-0.19</v>
      </c>
      <c r="U903" s="20">
        <v>-0.05</v>
      </c>
      <c r="V903" s="20">
        <v>2303.44</v>
      </c>
    </row>
    <row r="904" spans="1:22" ht="16.8" x14ac:dyDescent="0.3">
      <c r="A904" s="20">
        <v>90.4</v>
      </c>
      <c r="B904" s="20">
        <v>80.08</v>
      </c>
      <c r="C904" s="20">
        <v>80</v>
      </c>
      <c r="D904" s="20">
        <v>-0.08</v>
      </c>
      <c r="E904" s="20">
        <v>0.02</v>
      </c>
      <c r="F904" s="20">
        <v>2372.25</v>
      </c>
      <c r="Q904" s="20">
        <v>90.3</v>
      </c>
      <c r="R904" s="20">
        <v>80</v>
      </c>
      <c r="S904" s="20">
        <v>80.2</v>
      </c>
      <c r="T904" s="20">
        <v>-0.2</v>
      </c>
      <c r="U904" s="20">
        <v>-0.01</v>
      </c>
      <c r="V904" s="20">
        <v>2324.71</v>
      </c>
    </row>
    <row r="905" spans="1:22" ht="16.8" x14ac:dyDescent="0.3">
      <c r="A905" s="20">
        <v>90.5</v>
      </c>
      <c r="B905" s="20">
        <v>80.069999999999993</v>
      </c>
      <c r="C905" s="20">
        <v>80</v>
      </c>
      <c r="D905" s="20">
        <v>-7.0000000000000007E-2</v>
      </c>
      <c r="E905" s="20">
        <v>0.01</v>
      </c>
      <c r="F905" s="20">
        <v>2362.4899999999998</v>
      </c>
      <c r="Q905" s="25">
        <v>90.4</v>
      </c>
      <c r="R905" s="20">
        <v>80</v>
      </c>
      <c r="S905" s="20">
        <v>80.2</v>
      </c>
      <c r="T905" s="20">
        <v>-0.2</v>
      </c>
      <c r="U905" s="20">
        <v>0</v>
      </c>
      <c r="V905" s="20">
        <v>2335.81</v>
      </c>
    </row>
    <row r="906" spans="1:22" ht="16.8" x14ac:dyDescent="0.3">
      <c r="A906" s="20">
        <v>90.6</v>
      </c>
      <c r="B906" s="20">
        <v>80.05</v>
      </c>
      <c r="C906" s="20">
        <v>80</v>
      </c>
      <c r="D906" s="20">
        <v>-0.05</v>
      </c>
      <c r="E906" s="20">
        <v>0.02</v>
      </c>
      <c r="F906" s="20">
        <v>2372.4499999999998</v>
      </c>
      <c r="Q906" s="20">
        <v>90.5</v>
      </c>
      <c r="R906" s="20">
        <v>80</v>
      </c>
      <c r="S906" s="20">
        <v>80.25</v>
      </c>
      <c r="T906" s="20">
        <v>-0.25</v>
      </c>
      <c r="U906" s="20">
        <v>-0.05</v>
      </c>
      <c r="V906" s="20">
        <v>2242.33</v>
      </c>
    </row>
    <row r="907" spans="1:22" ht="16.8" x14ac:dyDescent="0.3">
      <c r="A907" s="20">
        <v>90.7</v>
      </c>
      <c r="B907" s="20">
        <v>80.03</v>
      </c>
      <c r="C907" s="20">
        <v>80</v>
      </c>
      <c r="D907" s="20">
        <v>-0.03</v>
      </c>
      <c r="E907" s="20">
        <v>0.02</v>
      </c>
      <c r="F907" s="20">
        <v>2379.5100000000002</v>
      </c>
      <c r="Q907" s="25">
        <v>90.6</v>
      </c>
      <c r="R907" s="20">
        <v>80</v>
      </c>
      <c r="S907" s="20">
        <v>80.209999999999994</v>
      </c>
      <c r="T907" s="20">
        <v>-0.21</v>
      </c>
      <c r="U907" s="20">
        <v>0.04</v>
      </c>
      <c r="V907" s="20">
        <v>2327.59</v>
      </c>
    </row>
    <row r="908" spans="1:22" ht="16.8" x14ac:dyDescent="0.3">
      <c r="A908" s="20">
        <v>90.8</v>
      </c>
      <c r="B908" s="20">
        <v>80.03</v>
      </c>
      <c r="C908" s="20">
        <v>80</v>
      </c>
      <c r="D908" s="20">
        <v>-0.03</v>
      </c>
      <c r="E908" s="20">
        <v>0</v>
      </c>
      <c r="F908" s="20">
        <v>2361.16</v>
      </c>
      <c r="Q908" s="25">
        <v>90.7</v>
      </c>
      <c r="R908" s="20">
        <v>80</v>
      </c>
      <c r="S908" s="20">
        <v>80.25</v>
      </c>
      <c r="T908" s="20">
        <v>-0.25</v>
      </c>
      <c r="U908" s="20">
        <v>-0.04</v>
      </c>
      <c r="V908" s="20">
        <v>2249.63</v>
      </c>
    </row>
    <row r="909" spans="1:22" ht="16.8" x14ac:dyDescent="0.3">
      <c r="A909" s="20">
        <v>90.9</v>
      </c>
      <c r="B909" s="20">
        <v>80.05</v>
      </c>
      <c r="C909" s="20">
        <v>80</v>
      </c>
      <c r="D909" s="20">
        <v>-0.05</v>
      </c>
      <c r="E909" s="20">
        <v>-0.02</v>
      </c>
      <c r="F909" s="20">
        <v>2343.59</v>
      </c>
      <c r="Q909" s="20">
        <v>90.8</v>
      </c>
      <c r="R909" s="20">
        <v>80</v>
      </c>
      <c r="S909" s="20">
        <v>80.239999999999995</v>
      </c>
      <c r="T909" s="20">
        <v>-0.24</v>
      </c>
      <c r="U909" s="20">
        <v>0.01</v>
      </c>
      <c r="V909" s="20">
        <v>2298.62</v>
      </c>
    </row>
    <row r="910" spans="1:22" ht="16.8" x14ac:dyDescent="0.3">
      <c r="A910" s="20">
        <v>91</v>
      </c>
      <c r="B910" s="20">
        <v>80.05</v>
      </c>
      <c r="C910" s="20">
        <v>80</v>
      </c>
      <c r="D910" s="20">
        <v>-0.05</v>
      </c>
      <c r="E910" s="20">
        <v>0</v>
      </c>
      <c r="F910" s="20">
        <v>2358.0300000000002</v>
      </c>
      <c r="Q910" s="25">
        <v>90.9</v>
      </c>
      <c r="R910" s="20">
        <v>80</v>
      </c>
      <c r="S910" s="20">
        <v>80.25</v>
      </c>
      <c r="T910" s="20">
        <v>-0.25</v>
      </c>
      <c r="U910" s="20">
        <v>-0.02</v>
      </c>
      <c r="V910" s="20">
        <v>2267.34</v>
      </c>
    </row>
    <row r="911" spans="1:22" ht="16.8" x14ac:dyDescent="0.3">
      <c r="A911" s="20">
        <v>91.1</v>
      </c>
      <c r="B911" s="20">
        <v>80.010000000000005</v>
      </c>
      <c r="C911" s="20">
        <v>80</v>
      </c>
      <c r="D911" s="20">
        <v>-0.01</v>
      </c>
      <c r="E911" s="20">
        <v>0.04</v>
      </c>
      <c r="F911" s="20">
        <v>2405.9299999999998</v>
      </c>
      <c r="Q911" s="25">
        <v>91</v>
      </c>
      <c r="R911" s="20">
        <v>80</v>
      </c>
      <c r="S911" s="20">
        <v>80.28</v>
      </c>
      <c r="T911" s="20">
        <v>-0.28000000000000003</v>
      </c>
      <c r="U911" s="20">
        <v>-0.02</v>
      </c>
      <c r="V911" s="20">
        <v>2234.71</v>
      </c>
    </row>
    <row r="912" spans="1:22" ht="16.8" x14ac:dyDescent="0.3">
      <c r="A912" s="20">
        <v>91.2</v>
      </c>
      <c r="B912" s="20">
        <v>80.03</v>
      </c>
      <c r="C912" s="20">
        <v>80</v>
      </c>
      <c r="D912" s="20">
        <v>-0.03</v>
      </c>
      <c r="E912" s="20">
        <v>-0.02</v>
      </c>
      <c r="F912" s="20">
        <v>2343.9</v>
      </c>
      <c r="Q912" s="20">
        <v>91.1</v>
      </c>
      <c r="R912" s="20">
        <v>80</v>
      </c>
      <c r="S912" s="20">
        <v>80.27</v>
      </c>
      <c r="T912" s="20">
        <v>-0.27</v>
      </c>
      <c r="U912" s="20">
        <v>0.01</v>
      </c>
      <c r="V912" s="20">
        <v>2265.02</v>
      </c>
    </row>
    <row r="913" spans="1:22" ht="16.8" x14ac:dyDescent="0.3">
      <c r="A913" s="20">
        <v>91.3</v>
      </c>
      <c r="B913" s="20">
        <v>79.989999999999995</v>
      </c>
      <c r="C913" s="20">
        <v>80</v>
      </c>
      <c r="D913" s="20">
        <v>0.01</v>
      </c>
      <c r="E913" s="20">
        <v>0.04</v>
      </c>
      <c r="F913" s="20">
        <v>2401.4</v>
      </c>
      <c r="Q913" s="25">
        <v>91.2</v>
      </c>
      <c r="R913" s="20">
        <v>80</v>
      </c>
      <c r="S913" s="20">
        <v>80.319999999999993</v>
      </c>
      <c r="T913" s="20">
        <v>-0.32</v>
      </c>
      <c r="U913" s="20">
        <v>-0.05</v>
      </c>
      <c r="V913" s="20">
        <v>2161.38</v>
      </c>
    </row>
    <row r="914" spans="1:22" ht="16.8" x14ac:dyDescent="0.3">
      <c r="A914" s="20">
        <v>91.4</v>
      </c>
      <c r="B914" s="20">
        <v>80.03</v>
      </c>
      <c r="C914" s="20">
        <v>80</v>
      </c>
      <c r="D914" s="20">
        <v>-0.03</v>
      </c>
      <c r="E914" s="20">
        <v>-0.04</v>
      </c>
      <c r="F914" s="20">
        <v>2320.52</v>
      </c>
      <c r="Q914" s="20">
        <v>91.3</v>
      </c>
      <c r="R914" s="20">
        <v>80</v>
      </c>
      <c r="S914" s="20">
        <v>80.33</v>
      </c>
      <c r="T914" s="20">
        <v>-0.33</v>
      </c>
      <c r="U914" s="20">
        <v>-0.01</v>
      </c>
      <c r="V914" s="20">
        <v>2192.0300000000002</v>
      </c>
    </row>
    <row r="915" spans="1:22" ht="16.8" x14ac:dyDescent="0.3">
      <c r="A915" s="20">
        <v>91.5</v>
      </c>
      <c r="B915" s="20">
        <v>80.040000000000006</v>
      </c>
      <c r="C915" s="20">
        <v>80</v>
      </c>
      <c r="D915" s="20">
        <v>-0.04</v>
      </c>
      <c r="E915" s="20">
        <v>0</v>
      </c>
      <c r="F915" s="20">
        <v>2356.21</v>
      </c>
      <c r="Q915" s="25">
        <v>91.4</v>
      </c>
      <c r="R915" s="20">
        <v>80</v>
      </c>
      <c r="S915" s="20">
        <v>80.3</v>
      </c>
      <c r="T915" s="20">
        <v>-0.3</v>
      </c>
      <c r="U915" s="20">
        <v>0.02</v>
      </c>
      <c r="V915" s="20">
        <v>2226.12</v>
      </c>
    </row>
    <row r="916" spans="1:22" ht="16.8" x14ac:dyDescent="0.3">
      <c r="A916" s="20">
        <v>91.6</v>
      </c>
      <c r="B916" s="20">
        <v>80.099999999999994</v>
      </c>
      <c r="C916" s="20">
        <v>80</v>
      </c>
      <c r="D916" s="20">
        <v>-0.1</v>
      </c>
      <c r="E916" s="20">
        <v>-0.06</v>
      </c>
      <c r="F916" s="20">
        <v>2289.87</v>
      </c>
      <c r="Q916" s="25">
        <v>91.5</v>
      </c>
      <c r="R916" s="20">
        <v>80</v>
      </c>
      <c r="S916" s="20">
        <v>80.349999999999994</v>
      </c>
      <c r="T916" s="20">
        <v>-0.35</v>
      </c>
      <c r="U916" s="20">
        <v>-0.05</v>
      </c>
      <c r="V916" s="20">
        <v>2128.13</v>
      </c>
    </row>
    <row r="917" spans="1:22" ht="16.8" x14ac:dyDescent="0.3">
      <c r="A917" s="20">
        <v>91.7</v>
      </c>
      <c r="B917" s="20">
        <v>80.099999999999994</v>
      </c>
      <c r="C917" s="20">
        <v>80</v>
      </c>
      <c r="D917" s="20">
        <v>-0.1</v>
      </c>
      <c r="E917" s="20">
        <v>0</v>
      </c>
      <c r="F917" s="20">
        <v>2347.9499999999998</v>
      </c>
      <c r="Q917" s="20">
        <v>91.6</v>
      </c>
      <c r="R917" s="20">
        <v>80</v>
      </c>
      <c r="S917" s="20">
        <v>80.36</v>
      </c>
      <c r="T917" s="20">
        <v>-0.36</v>
      </c>
      <c r="U917" s="20">
        <v>-0.01</v>
      </c>
      <c r="V917" s="20">
        <v>2146.23</v>
      </c>
    </row>
    <row r="918" spans="1:22" ht="16.8" x14ac:dyDescent="0.3">
      <c r="A918" s="20">
        <v>91.8</v>
      </c>
      <c r="B918" s="20">
        <v>80.150000000000006</v>
      </c>
      <c r="C918" s="20">
        <v>80</v>
      </c>
      <c r="D918" s="20">
        <v>-0.15</v>
      </c>
      <c r="E918" s="20">
        <v>-0.05</v>
      </c>
      <c r="F918" s="20">
        <v>2295.2199999999998</v>
      </c>
      <c r="Q918" s="25">
        <v>91.7</v>
      </c>
      <c r="R918" s="20">
        <v>80</v>
      </c>
      <c r="S918" s="20">
        <v>80.349999999999994</v>
      </c>
      <c r="T918" s="20">
        <v>-0.35</v>
      </c>
      <c r="U918" s="20">
        <v>0.02</v>
      </c>
      <c r="V918" s="20">
        <v>2176.14</v>
      </c>
    </row>
    <row r="919" spans="1:22" ht="16.8" x14ac:dyDescent="0.3">
      <c r="A919" s="20">
        <v>91.9</v>
      </c>
      <c r="B919" s="20">
        <v>80.17</v>
      </c>
      <c r="C919" s="20">
        <v>80</v>
      </c>
      <c r="D919" s="20">
        <v>-0.17</v>
      </c>
      <c r="E919" s="20">
        <v>-0.02</v>
      </c>
      <c r="F919" s="20">
        <v>2312.36</v>
      </c>
      <c r="Q919" s="20">
        <v>91.8</v>
      </c>
      <c r="R919" s="20">
        <v>80</v>
      </c>
      <c r="S919" s="20">
        <v>80.36</v>
      </c>
      <c r="T919" s="20">
        <v>-0.36</v>
      </c>
      <c r="U919" s="20">
        <v>-0.01</v>
      </c>
      <c r="V919" s="20">
        <v>2159.42</v>
      </c>
    </row>
    <row r="920" spans="1:22" ht="16.8" x14ac:dyDescent="0.3">
      <c r="A920" s="20">
        <v>92</v>
      </c>
      <c r="B920" s="20">
        <v>80.239999999999995</v>
      </c>
      <c r="C920" s="20">
        <v>80</v>
      </c>
      <c r="D920" s="20">
        <v>-0.24</v>
      </c>
      <c r="E920" s="20">
        <v>-0.06</v>
      </c>
      <c r="F920" s="20">
        <v>2268.19</v>
      </c>
      <c r="Q920" s="25">
        <v>91.9</v>
      </c>
      <c r="R920" s="20">
        <v>80</v>
      </c>
      <c r="S920" s="20">
        <v>80.349999999999994</v>
      </c>
      <c r="T920" s="20">
        <v>-0.35</v>
      </c>
      <c r="U920" s="20">
        <v>0.01</v>
      </c>
      <c r="V920" s="20">
        <v>2176.14</v>
      </c>
    </row>
    <row r="921" spans="1:22" ht="16.8" x14ac:dyDescent="0.3">
      <c r="A921" s="20">
        <v>92.1</v>
      </c>
      <c r="B921" s="20">
        <v>80.25</v>
      </c>
      <c r="C921" s="20">
        <v>80</v>
      </c>
      <c r="D921" s="20">
        <v>-0.25</v>
      </c>
      <c r="E921" s="20">
        <v>-0.02</v>
      </c>
      <c r="F921" s="20">
        <v>2304.7600000000002</v>
      </c>
      <c r="Q921" s="25">
        <v>92</v>
      </c>
      <c r="R921" s="20">
        <v>80</v>
      </c>
      <c r="S921" s="20">
        <v>80.3</v>
      </c>
      <c r="T921" s="20">
        <v>-0.3</v>
      </c>
      <c r="U921" s="20">
        <v>0.05</v>
      </c>
      <c r="V921" s="20">
        <v>2234.89</v>
      </c>
    </row>
    <row r="922" spans="1:22" ht="16.8" x14ac:dyDescent="0.3">
      <c r="A922" s="20">
        <v>92.2</v>
      </c>
      <c r="B922" s="20">
        <v>80.319999999999993</v>
      </c>
      <c r="C922" s="20">
        <v>80</v>
      </c>
      <c r="D922" s="20">
        <v>-0.32</v>
      </c>
      <c r="E922" s="20">
        <v>-0.06</v>
      </c>
      <c r="F922" s="20">
        <v>2248.6999999999998</v>
      </c>
      <c r="Q922" s="20">
        <v>92.1</v>
      </c>
      <c r="R922" s="20">
        <v>80</v>
      </c>
      <c r="S922" s="20">
        <v>80.3</v>
      </c>
      <c r="T922" s="20">
        <v>-0.3</v>
      </c>
      <c r="U922" s="20">
        <v>0</v>
      </c>
      <c r="V922" s="20">
        <v>2234.89</v>
      </c>
    </row>
    <row r="923" spans="1:22" ht="16.8" x14ac:dyDescent="0.3">
      <c r="A923" s="20">
        <v>92.3</v>
      </c>
      <c r="B923" s="20">
        <v>80.319999999999993</v>
      </c>
      <c r="C923" s="20">
        <v>80</v>
      </c>
      <c r="D923" s="20">
        <v>-0.32</v>
      </c>
      <c r="E923" s="20">
        <v>0</v>
      </c>
      <c r="F923" s="20">
        <v>2301.75</v>
      </c>
      <c r="Q923" s="25">
        <v>92.2</v>
      </c>
      <c r="R923" s="20">
        <v>80</v>
      </c>
      <c r="S923" s="20">
        <v>80.319999999999993</v>
      </c>
      <c r="T923" s="20">
        <v>-0.32</v>
      </c>
      <c r="U923" s="20">
        <v>-0.02</v>
      </c>
      <c r="V923" s="20">
        <v>2194.69</v>
      </c>
    </row>
    <row r="924" spans="1:22" ht="16.8" x14ac:dyDescent="0.3">
      <c r="A924" s="20">
        <v>92.4</v>
      </c>
      <c r="B924" s="20">
        <v>80.38</v>
      </c>
      <c r="C924" s="20">
        <v>80</v>
      </c>
      <c r="D924" s="20">
        <v>-0.38</v>
      </c>
      <c r="E924" s="20">
        <v>-0.06</v>
      </c>
      <c r="F924" s="20">
        <v>2243.2800000000002</v>
      </c>
      <c r="Q924" s="25">
        <v>92.3</v>
      </c>
      <c r="R924" s="20">
        <v>80</v>
      </c>
      <c r="S924" s="20">
        <v>80.3</v>
      </c>
      <c r="T924" s="20">
        <v>-0.3</v>
      </c>
      <c r="U924" s="20">
        <v>0.02</v>
      </c>
      <c r="V924" s="20">
        <v>2234.89</v>
      </c>
    </row>
    <row r="925" spans="1:22" ht="16.8" x14ac:dyDescent="0.3">
      <c r="A925" s="20">
        <v>92.5</v>
      </c>
      <c r="B925" s="20">
        <v>80.459999999999994</v>
      </c>
      <c r="C925" s="20">
        <v>80</v>
      </c>
      <c r="D925" s="20">
        <v>-0.46</v>
      </c>
      <c r="E925" s="20">
        <v>-0.08</v>
      </c>
      <c r="F925" s="20">
        <v>2205.85</v>
      </c>
      <c r="Q925" s="20">
        <v>92.4</v>
      </c>
      <c r="R925" s="20">
        <v>80</v>
      </c>
      <c r="S925" s="20">
        <v>80.28</v>
      </c>
      <c r="T925" s="20">
        <v>-0.28000000000000003</v>
      </c>
      <c r="U925" s="20">
        <v>0.01</v>
      </c>
      <c r="V925" s="20">
        <v>2247.92</v>
      </c>
    </row>
    <row r="926" spans="1:22" ht="16.8" x14ac:dyDescent="0.3">
      <c r="A926" s="20">
        <v>92.6</v>
      </c>
      <c r="B926" s="20">
        <v>80.47</v>
      </c>
      <c r="C926" s="20">
        <v>80</v>
      </c>
      <c r="D926" s="20">
        <v>-0.47</v>
      </c>
      <c r="E926" s="20">
        <v>-0.02</v>
      </c>
      <c r="F926" s="20">
        <v>2259.9699999999998</v>
      </c>
      <c r="Q926" s="25">
        <v>92.5</v>
      </c>
      <c r="R926" s="20">
        <v>80</v>
      </c>
      <c r="S926" s="20">
        <v>80.260000000000005</v>
      </c>
      <c r="T926" s="20">
        <v>-0.26</v>
      </c>
      <c r="U926" s="20">
        <v>0.03</v>
      </c>
      <c r="V926" s="20">
        <v>2277.73</v>
      </c>
    </row>
    <row r="927" spans="1:22" ht="16.8" x14ac:dyDescent="0.3">
      <c r="A927" s="20">
        <v>92.7</v>
      </c>
      <c r="B927" s="20">
        <v>80.52</v>
      </c>
      <c r="C927" s="20">
        <v>80</v>
      </c>
      <c r="D927" s="20">
        <v>-0.52</v>
      </c>
      <c r="E927" s="20">
        <v>-0.04</v>
      </c>
      <c r="F927" s="20">
        <v>2225.08</v>
      </c>
      <c r="Q927" s="20">
        <v>92.6</v>
      </c>
      <c r="R927" s="20">
        <v>80</v>
      </c>
      <c r="S927" s="20">
        <v>80.25</v>
      </c>
      <c r="T927" s="20">
        <v>-0.25</v>
      </c>
      <c r="U927" s="20">
        <v>0.01</v>
      </c>
      <c r="V927" s="20">
        <v>2286.12</v>
      </c>
    </row>
    <row r="928" spans="1:22" ht="16.8" x14ac:dyDescent="0.3">
      <c r="A928" s="20">
        <v>92.8</v>
      </c>
      <c r="B928" s="20">
        <v>80.510000000000005</v>
      </c>
      <c r="C928" s="20">
        <v>80</v>
      </c>
      <c r="D928" s="20">
        <v>-0.51</v>
      </c>
      <c r="E928" s="20">
        <v>0.01</v>
      </c>
      <c r="F928" s="20">
        <v>2272.36</v>
      </c>
      <c r="Q928" s="25">
        <v>92.7</v>
      </c>
      <c r="R928" s="20">
        <v>80</v>
      </c>
      <c r="S928" s="20">
        <v>80.239999999999995</v>
      </c>
      <c r="T928" s="20">
        <v>-0.24</v>
      </c>
      <c r="U928" s="20">
        <v>0</v>
      </c>
      <c r="V928" s="20">
        <v>2290.2800000000002</v>
      </c>
    </row>
    <row r="929" spans="1:22" ht="16.8" x14ac:dyDescent="0.3">
      <c r="A929" s="20">
        <v>92.9</v>
      </c>
      <c r="B929" s="20">
        <v>80.510000000000005</v>
      </c>
      <c r="C929" s="20">
        <v>80</v>
      </c>
      <c r="D929" s="20">
        <v>-0.51</v>
      </c>
      <c r="E929" s="20">
        <v>0</v>
      </c>
      <c r="F929" s="20">
        <v>2267.85</v>
      </c>
      <c r="Q929" s="25">
        <v>92.8</v>
      </c>
      <c r="R929" s="20">
        <v>80</v>
      </c>
      <c r="S929" s="20">
        <v>80.2</v>
      </c>
      <c r="T929" s="20">
        <v>-0.2</v>
      </c>
      <c r="U929" s="20">
        <v>0.04</v>
      </c>
      <c r="V929" s="20">
        <v>2331.6999999999998</v>
      </c>
    </row>
    <row r="930" spans="1:22" ht="16.8" x14ac:dyDescent="0.3">
      <c r="A930" s="20">
        <v>93</v>
      </c>
      <c r="B930" s="20">
        <v>80.52</v>
      </c>
      <c r="C930" s="20">
        <v>80</v>
      </c>
      <c r="D930" s="20">
        <v>-0.52</v>
      </c>
      <c r="E930" s="20">
        <v>-0.02</v>
      </c>
      <c r="F930" s="20">
        <v>2245.15</v>
      </c>
      <c r="Q930" s="20">
        <v>92.9</v>
      </c>
      <c r="R930" s="20">
        <v>80</v>
      </c>
      <c r="S930" s="20">
        <v>80.209999999999994</v>
      </c>
      <c r="T930" s="20">
        <v>-0.21</v>
      </c>
      <c r="U930" s="20">
        <v>-0.01</v>
      </c>
      <c r="V930" s="20">
        <v>2316.04</v>
      </c>
    </row>
    <row r="931" spans="1:22" ht="16.8" x14ac:dyDescent="0.3">
      <c r="A931" s="20">
        <v>93.1</v>
      </c>
      <c r="B931" s="20">
        <v>80.47</v>
      </c>
      <c r="C931" s="20">
        <v>80</v>
      </c>
      <c r="D931" s="20">
        <v>-0.47</v>
      </c>
      <c r="E931" s="20">
        <v>0.05</v>
      </c>
      <c r="F931" s="20">
        <v>2310.56</v>
      </c>
      <c r="Q931" s="25">
        <v>93</v>
      </c>
      <c r="R931" s="20">
        <v>80</v>
      </c>
      <c r="S931" s="20">
        <v>80.19</v>
      </c>
      <c r="T931" s="20">
        <v>-0.19</v>
      </c>
      <c r="U931" s="20">
        <v>0.02</v>
      </c>
      <c r="V931" s="20">
        <v>2348.12</v>
      </c>
    </row>
    <row r="932" spans="1:22" ht="16.8" x14ac:dyDescent="0.3">
      <c r="A932" s="20">
        <v>93.2</v>
      </c>
      <c r="B932" s="20">
        <v>80.510000000000005</v>
      </c>
      <c r="C932" s="20">
        <v>80</v>
      </c>
      <c r="D932" s="20">
        <v>-0.51</v>
      </c>
      <c r="E932" s="20">
        <v>-0.03</v>
      </c>
      <c r="F932" s="20">
        <v>2230.35</v>
      </c>
      <c r="Q932" s="20">
        <v>93.1</v>
      </c>
      <c r="R932" s="20">
        <v>80</v>
      </c>
      <c r="S932" s="20">
        <v>80.209999999999994</v>
      </c>
      <c r="T932" s="20">
        <v>-0.21</v>
      </c>
      <c r="U932" s="20">
        <v>-0.02</v>
      </c>
      <c r="V932" s="20">
        <v>2301.25</v>
      </c>
    </row>
    <row r="933" spans="1:22" ht="16.8" x14ac:dyDescent="0.3">
      <c r="A933" s="20">
        <v>93.3</v>
      </c>
      <c r="B933" s="20">
        <v>80.5</v>
      </c>
      <c r="C933" s="20">
        <v>80</v>
      </c>
      <c r="D933" s="20">
        <v>-0.5</v>
      </c>
      <c r="E933" s="20">
        <v>0.01</v>
      </c>
      <c r="F933" s="20">
        <v>2266.7199999999998</v>
      </c>
      <c r="Q933" s="25">
        <v>93.2</v>
      </c>
      <c r="R933" s="20">
        <v>80</v>
      </c>
      <c r="S933" s="20">
        <v>80.2</v>
      </c>
      <c r="T933" s="20">
        <v>-0.2</v>
      </c>
      <c r="U933" s="20">
        <v>0.01</v>
      </c>
      <c r="V933" s="20">
        <v>2335.81</v>
      </c>
    </row>
    <row r="934" spans="1:22" ht="16.8" x14ac:dyDescent="0.3">
      <c r="A934" s="20">
        <v>93.4</v>
      </c>
      <c r="B934" s="20">
        <v>80.48</v>
      </c>
      <c r="C934" s="20">
        <v>80</v>
      </c>
      <c r="D934" s="20">
        <v>-0.48</v>
      </c>
      <c r="E934" s="20">
        <v>0.01</v>
      </c>
      <c r="F934" s="20">
        <v>2270.9899999999998</v>
      </c>
      <c r="Q934" s="25">
        <v>93.3</v>
      </c>
      <c r="R934" s="20">
        <v>80</v>
      </c>
      <c r="S934" s="20">
        <v>80.150000000000006</v>
      </c>
      <c r="T934" s="20">
        <v>-0.15</v>
      </c>
      <c r="U934" s="20">
        <v>0.05</v>
      </c>
      <c r="V934" s="20">
        <v>2389.27</v>
      </c>
    </row>
    <row r="935" spans="1:22" ht="16.8" x14ac:dyDescent="0.3">
      <c r="A935" s="20">
        <v>93.5</v>
      </c>
      <c r="B935" s="20">
        <v>80.510000000000005</v>
      </c>
      <c r="C935" s="20">
        <v>80</v>
      </c>
      <c r="D935" s="20">
        <v>-0.51</v>
      </c>
      <c r="E935" s="20">
        <v>-0.02</v>
      </c>
      <c r="F935" s="20">
        <v>2236.6799999999998</v>
      </c>
      <c r="Q935" s="20">
        <v>93.4</v>
      </c>
      <c r="R935" s="20">
        <v>80</v>
      </c>
      <c r="S935" s="20">
        <v>80.16</v>
      </c>
      <c r="T935" s="20">
        <v>-0.16</v>
      </c>
      <c r="U935" s="20">
        <v>-0.01</v>
      </c>
      <c r="V935" s="20">
        <v>2365.61</v>
      </c>
    </row>
    <row r="936" spans="1:22" ht="16.8" x14ac:dyDescent="0.3">
      <c r="A936" s="20">
        <v>93.6</v>
      </c>
      <c r="B936" s="20">
        <v>80.459999999999994</v>
      </c>
      <c r="C936" s="20">
        <v>80</v>
      </c>
      <c r="D936" s="20">
        <v>-0.46</v>
      </c>
      <c r="E936" s="20">
        <v>0.04</v>
      </c>
      <c r="F936" s="20">
        <v>2297.06</v>
      </c>
      <c r="Q936" s="25">
        <v>93.5</v>
      </c>
      <c r="R936" s="20">
        <v>80</v>
      </c>
      <c r="S936" s="20">
        <v>80.17</v>
      </c>
      <c r="T936" s="20">
        <v>-0.17</v>
      </c>
      <c r="U936" s="20">
        <v>-0.02</v>
      </c>
      <c r="V936" s="20">
        <v>2345.4699999999998</v>
      </c>
    </row>
    <row r="937" spans="1:22" ht="16.8" x14ac:dyDescent="0.3">
      <c r="A937" s="20">
        <v>93.7</v>
      </c>
      <c r="B937" s="20">
        <v>80.44</v>
      </c>
      <c r="C937" s="20">
        <v>80</v>
      </c>
      <c r="D937" s="20">
        <v>-0.44</v>
      </c>
      <c r="E937" s="20">
        <v>0.03</v>
      </c>
      <c r="F937" s="20">
        <v>2289.67</v>
      </c>
      <c r="Q937" s="25">
        <v>93.6</v>
      </c>
      <c r="R937" s="20">
        <v>80</v>
      </c>
      <c r="S937" s="20">
        <v>80.17</v>
      </c>
      <c r="T937" s="20">
        <v>-0.17</v>
      </c>
      <c r="U937" s="20">
        <v>0.01</v>
      </c>
      <c r="V937" s="20">
        <v>2368.64</v>
      </c>
    </row>
    <row r="938" spans="1:22" ht="16.8" x14ac:dyDescent="0.3">
      <c r="A938" s="20">
        <v>93.8</v>
      </c>
      <c r="B938" s="20">
        <v>80.489999999999995</v>
      </c>
      <c r="C938" s="20">
        <v>80</v>
      </c>
      <c r="D938" s="20">
        <v>-0.49</v>
      </c>
      <c r="E938" s="20">
        <v>-0.05</v>
      </c>
      <c r="F938" s="20">
        <v>2205.9899999999998</v>
      </c>
      <c r="Q938" s="20">
        <v>93.7</v>
      </c>
      <c r="R938" s="20">
        <v>80</v>
      </c>
      <c r="S938" s="20">
        <v>80.180000000000007</v>
      </c>
      <c r="T938" s="20">
        <v>-0.18</v>
      </c>
      <c r="U938" s="20">
        <v>-0.01</v>
      </c>
      <c r="V938" s="20">
        <v>2345.15</v>
      </c>
    </row>
    <row r="939" spans="1:22" ht="16.8" x14ac:dyDescent="0.3">
      <c r="A939" s="20">
        <v>93.9</v>
      </c>
      <c r="B939" s="20">
        <v>80.42</v>
      </c>
      <c r="C939" s="20">
        <v>80</v>
      </c>
      <c r="D939" s="20">
        <v>-0.42</v>
      </c>
      <c r="E939" s="20">
        <v>0.06</v>
      </c>
      <c r="F939" s="20">
        <v>2321.8200000000002</v>
      </c>
      <c r="Q939" s="25">
        <v>93.8</v>
      </c>
      <c r="R939" s="20">
        <v>80</v>
      </c>
      <c r="S939" s="20">
        <v>80.19</v>
      </c>
      <c r="T939" s="20">
        <v>-0.19</v>
      </c>
      <c r="U939" s="20">
        <v>-0.02</v>
      </c>
      <c r="V939" s="20">
        <v>2325.04</v>
      </c>
    </row>
    <row r="940" spans="1:22" ht="16.8" x14ac:dyDescent="0.3">
      <c r="A940" s="20">
        <v>94</v>
      </c>
      <c r="B940" s="20">
        <v>80.41</v>
      </c>
      <c r="C940" s="20">
        <v>80</v>
      </c>
      <c r="D940" s="20">
        <v>-0.41</v>
      </c>
      <c r="E940" s="20">
        <v>0.01</v>
      </c>
      <c r="F940" s="20">
        <v>2275.1799999999998</v>
      </c>
      <c r="Q940" s="20">
        <v>93.9</v>
      </c>
      <c r="R940" s="20">
        <v>80</v>
      </c>
      <c r="S940" s="20">
        <v>80.13</v>
      </c>
      <c r="T940" s="20">
        <v>-0.13</v>
      </c>
      <c r="U940" s="20">
        <v>0.06</v>
      </c>
      <c r="V940" s="20">
        <v>2401.75</v>
      </c>
    </row>
    <row r="941" spans="1:22" ht="16.8" x14ac:dyDescent="0.3">
      <c r="A941" s="20">
        <v>94.1</v>
      </c>
      <c r="B941" s="20">
        <v>80.41</v>
      </c>
      <c r="C941" s="20">
        <v>80</v>
      </c>
      <c r="D941" s="20">
        <v>-0.41</v>
      </c>
      <c r="E941" s="20">
        <v>0</v>
      </c>
      <c r="F941" s="20">
        <v>2267.34</v>
      </c>
      <c r="Q941" s="25">
        <v>94</v>
      </c>
      <c r="R941" s="20">
        <v>80</v>
      </c>
      <c r="S941" s="20">
        <v>80.17</v>
      </c>
      <c r="T941" s="20">
        <v>-0.17</v>
      </c>
      <c r="U941" s="20">
        <v>-0.03</v>
      </c>
      <c r="V941" s="20">
        <v>2338.54</v>
      </c>
    </row>
    <row r="942" spans="1:22" ht="16.8" x14ac:dyDescent="0.3">
      <c r="A942" s="20">
        <v>94.2</v>
      </c>
      <c r="B942" s="20">
        <v>80.38</v>
      </c>
      <c r="C942" s="20">
        <v>80</v>
      </c>
      <c r="D942" s="20">
        <v>-0.38</v>
      </c>
      <c r="E942" s="20">
        <v>0.03</v>
      </c>
      <c r="F942" s="20">
        <v>2292.98</v>
      </c>
      <c r="Q942" s="25">
        <v>94.1</v>
      </c>
      <c r="R942" s="20">
        <v>80</v>
      </c>
      <c r="S942" s="20">
        <v>80.16</v>
      </c>
      <c r="T942" s="20">
        <v>-0.16</v>
      </c>
      <c r="U942" s="20">
        <v>0.01</v>
      </c>
      <c r="V942" s="20">
        <v>2376.91</v>
      </c>
    </row>
    <row r="943" spans="1:22" ht="16.8" x14ac:dyDescent="0.3">
      <c r="A943" s="20">
        <v>94.3</v>
      </c>
      <c r="B943" s="20">
        <v>80.349999999999994</v>
      </c>
      <c r="C943" s="20">
        <v>80</v>
      </c>
      <c r="D943" s="20">
        <v>-0.35</v>
      </c>
      <c r="E943" s="20">
        <v>0.03</v>
      </c>
      <c r="F943" s="20">
        <v>2296.84</v>
      </c>
      <c r="Q943" s="20">
        <v>94.2</v>
      </c>
      <c r="R943" s="20">
        <v>80</v>
      </c>
      <c r="S943" s="20">
        <v>80.180000000000007</v>
      </c>
      <c r="T943" s="20">
        <v>-0.18</v>
      </c>
      <c r="U943" s="20">
        <v>-0.02</v>
      </c>
      <c r="V943" s="20">
        <v>2329.8200000000002</v>
      </c>
    </row>
    <row r="944" spans="1:22" ht="16.8" x14ac:dyDescent="0.3">
      <c r="A944" s="20">
        <v>94.4</v>
      </c>
      <c r="B944" s="20">
        <v>80.37</v>
      </c>
      <c r="C944" s="20">
        <v>80</v>
      </c>
      <c r="D944" s="20">
        <v>-0.37</v>
      </c>
      <c r="E944" s="20">
        <v>-0.02</v>
      </c>
      <c r="F944" s="20">
        <v>2252.7199999999998</v>
      </c>
      <c r="Q944" s="25">
        <v>94.3</v>
      </c>
      <c r="R944" s="20">
        <v>80</v>
      </c>
      <c r="S944" s="20">
        <v>80.19</v>
      </c>
      <c r="T944" s="20">
        <v>-0.19</v>
      </c>
      <c r="U944" s="20">
        <v>-0.01</v>
      </c>
      <c r="V944" s="20">
        <v>2336.5500000000002</v>
      </c>
    </row>
    <row r="945" spans="1:22" ht="16.8" x14ac:dyDescent="0.3">
      <c r="A945" s="20">
        <v>94.5</v>
      </c>
      <c r="B945" s="20">
        <v>80.33</v>
      </c>
      <c r="C945" s="20">
        <v>80</v>
      </c>
      <c r="D945" s="20">
        <v>-0.33</v>
      </c>
      <c r="E945" s="20">
        <v>0.04</v>
      </c>
      <c r="F945" s="20">
        <v>2305.48</v>
      </c>
      <c r="Q945" s="25">
        <v>94.4</v>
      </c>
      <c r="R945" s="20">
        <v>80</v>
      </c>
      <c r="S945" s="20">
        <v>80.23</v>
      </c>
      <c r="T945" s="20">
        <v>-0.23</v>
      </c>
      <c r="U945" s="20">
        <v>-0.04</v>
      </c>
      <c r="V945" s="20">
        <v>2273.89</v>
      </c>
    </row>
    <row r="946" spans="1:22" ht="16.8" x14ac:dyDescent="0.3">
      <c r="A946" s="20">
        <v>94.6</v>
      </c>
      <c r="B946" s="20">
        <v>80.319999999999993</v>
      </c>
      <c r="C946" s="20">
        <v>80</v>
      </c>
      <c r="D946" s="20">
        <v>-0.32</v>
      </c>
      <c r="E946" s="20">
        <v>0.01</v>
      </c>
      <c r="F946" s="20">
        <v>2284.6999999999998</v>
      </c>
      <c r="Q946" s="20">
        <v>94.5</v>
      </c>
      <c r="R946" s="20">
        <v>80</v>
      </c>
      <c r="S946" s="20">
        <v>80.180000000000007</v>
      </c>
      <c r="T946" s="20">
        <v>-0.18</v>
      </c>
      <c r="U946" s="20">
        <v>0.05</v>
      </c>
      <c r="V946" s="20">
        <v>2356.35</v>
      </c>
    </row>
    <row r="947" spans="1:22" ht="16.8" x14ac:dyDescent="0.3">
      <c r="A947" s="20">
        <v>94.7</v>
      </c>
      <c r="B947" s="20">
        <v>80.319999999999993</v>
      </c>
      <c r="C947" s="20">
        <v>80</v>
      </c>
      <c r="D947" s="20">
        <v>-0.32</v>
      </c>
      <c r="E947" s="20">
        <v>0</v>
      </c>
      <c r="F947" s="20">
        <v>2277.14</v>
      </c>
      <c r="Q947" s="25">
        <v>94.6</v>
      </c>
      <c r="R947" s="20">
        <v>80</v>
      </c>
      <c r="S947" s="20">
        <v>80.19</v>
      </c>
      <c r="T947" s="20">
        <v>-0.19</v>
      </c>
      <c r="U947" s="20">
        <v>-0.01</v>
      </c>
      <c r="V947" s="20">
        <v>2332.86</v>
      </c>
    </row>
    <row r="948" spans="1:22" ht="16.8" x14ac:dyDescent="0.3">
      <c r="A948" s="20">
        <v>94.8</v>
      </c>
      <c r="B948" s="20">
        <v>80.319999999999993</v>
      </c>
      <c r="C948" s="20">
        <v>80</v>
      </c>
      <c r="D948" s="20">
        <v>-0.32</v>
      </c>
      <c r="E948" s="20">
        <v>0</v>
      </c>
      <c r="F948" s="20">
        <v>2268.13</v>
      </c>
      <c r="Q948" s="20">
        <v>94.7</v>
      </c>
      <c r="R948" s="20">
        <v>80</v>
      </c>
      <c r="S948" s="20">
        <v>80.260000000000005</v>
      </c>
      <c r="T948" s="20">
        <v>-0.26</v>
      </c>
      <c r="U948" s="20">
        <v>-7.0000000000000007E-2</v>
      </c>
      <c r="V948" s="20">
        <v>2211.79</v>
      </c>
    </row>
    <row r="949" spans="1:22" ht="16.8" x14ac:dyDescent="0.3">
      <c r="A949" s="20">
        <v>94.9</v>
      </c>
      <c r="B949" s="20">
        <v>80.319999999999993</v>
      </c>
      <c r="C949" s="20">
        <v>80</v>
      </c>
      <c r="D949" s="20">
        <v>-0.32</v>
      </c>
      <c r="E949" s="20">
        <v>0</v>
      </c>
      <c r="F949" s="20">
        <v>2266.4299999999998</v>
      </c>
      <c r="Q949" s="25">
        <v>94.8</v>
      </c>
      <c r="R949" s="20">
        <v>80</v>
      </c>
      <c r="S949" s="20">
        <v>80.260000000000005</v>
      </c>
      <c r="T949" s="20">
        <v>-0.26</v>
      </c>
      <c r="U949" s="20">
        <v>0</v>
      </c>
      <c r="V949" s="20">
        <v>2273.5</v>
      </c>
    </row>
    <row r="950" spans="1:22" ht="16.8" x14ac:dyDescent="0.3">
      <c r="A950" s="20">
        <v>95</v>
      </c>
      <c r="B950" s="20">
        <v>80.319999999999993</v>
      </c>
      <c r="C950" s="20">
        <v>80</v>
      </c>
      <c r="D950" s="20">
        <v>-0.32</v>
      </c>
      <c r="E950" s="20">
        <v>0.01</v>
      </c>
      <c r="F950" s="20">
        <v>2277.8000000000002</v>
      </c>
      <c r="Q950" s="25">
        <v>94.9</v>
      </c>
      <c r="R950" s="20">
        <v>80</v>
      </c>
      <c r="S950" s="20">
        <v>80.28</v>
      </c>
      <c r="T950" s="20">
        <v>-0.28000000000000003</v>
      </c>
      <c r="U950" s="20">
        <v>-0.02</v>
      </c>
      <c r="V950" s="20">
        <v>2226.13</v>
      </c>
    </row>
    <row r="951" spans="1:22" ht="16.8" x14ac:dyDescent="0.3">
      <c r="A951" s="20">
        <v>95.1</v>
      </c>
      <c r="B951" s="20">
        <v>80.260000000000005</v>
      </c>
      <c r="C951" s="20">
        <v>80</v>
      </c>
      <c r="D951" s="20">
        <v>-0.26</v>
      </c>
      <c r="E951" s="20">
        <v>0.05</v>
      </c>
      <c r="F951" s="20">
        <v>2326.31</v>
      </c>
      <c r="Q951" s="20">
        <v>95</v>
      </c>
      <c r="R951" s="20">
        <v>80</v>
      </c>
      <c r="S951" s="20">
        <v>80.260000000000005</v>
      </c>
      <c r="T951" s="20">
        <v>-0.26</v>
      </c>
      <c r="U951" s="20">
        <v>0.02</v>
      </c>
      <c r="V951" s="20">
        <v>2273.5</v>
      </c>
    </row>
    <row r="952" spans="1:22" ht="16.8" x14ac:dyDescent="0.3">
      <c r="A952" s="20">
        <v>95.2</v>
      </c>
      <c r="B952" s="20">
        <v>80.239999999999995</v>
      </c>
      <c r="C952" s="20">
        <v>80</v>
      </c>
      <c r="D952" s="20">
        <v>-0.24</v>
      </c>
      <c r="E952" s="20">
        <v>0.02</v>
      </c>
      <c r="F952" s="20">
        <v>2304.23</v>
      </c>
      <c r="Q952" s="25">
        <v>95.1</v>
      </c>
      <c r="R952" s="20">
        <v>80</v>
      </c>
      <c r="S952" s="20">
        <v>80.31</v>
      </c>
      <c r="T952" s="20">
        <v>-0.31</v>
      </c>
      <c r="U952" s="20">
        <v>-0.05</v>
      </c>
      <c r="V952" s="20">
        <v>2170.27</v>
      </c>
    </row>
    <row r="953" spans="1:22" ht="16.8" x14ac:dyDescent="0.3">
      <c r="A953" s="20">
        <v>95.3</v>
      </c>
      <c r="B953" s="20">
        <v>80.260000000000005</v>
      </c>
      <c r="C953" s="20">
        <v>80</v>
      </c>
      <c r="D953" s="20">
        <v>-0.26</v>
      </c>
      <c r="E953" s="20">
        <v>-0.02</v>
      </c>
      <c r="F953" s="20">
        <v>2255.4</v>
      </c>
      <c r="Q953" s="20">
        <v>95.2</v>
      </c>
      <c r="R953" s="20">
        <v>80</v>
      </c>
      <c r="S953" s="20">
        <v>80.25</v>
      </c>
      <c r="T953" s="20">
        <v>-0.25</v>
      </c>
      <c r="U953" s="20">
        <v>0.06</v>
      </c>
      <c r="V953" s="20">
        <v>2286.12</v>
      </c>
    </row>
    <row r="954" spans="1:22" ht="16.8" x14ac:dyDescent="0.3">
      <c r="A954" s="20">
        <v>95.4</v>
      </c>
      <c r="B954" s="20">
        <v>80.25</v>
      </c>
      <c r="C954" s="20">
        <v>80</v>
      </c>
      <c r="D954" s="20">
        <v>-0.25</v>
      </c>
      <c r="E954" s="20">
        <v>0.01</v>
      </c>
      <c r="F954" s="20">
        <v>2289.58</v>
      </c>
      <c r="Q954" s="25">
        <v>95.3</v>
      </c>
      <c r="R954" s="20">
        <v>80</v>
      </c>
      <c r="S954" s="20">
        <v>80.34</v>
      </c>
      <c r="T954" s="20">
        <v>-0.34</v>
      </c>
      <c r="U954" s="20">
        <v>-0.09</v>
      </c>
      <c r="V954" s="20">
        <v>2102.96</v>
      </c>
    </row>
    <row r="955" spans="1:22" ht="16.8" x14ac:dyDescent="0.3">
      <c r="A955" s="20">
        <v>95.5</v>
      </c>
      <c r="B955" s="20">
        <v>80.209999999999994</v>
      </c>
      <c r="C955" s="20">
        <v>80</v>
      </c>
      <c r="D955" s="20">
        <v>-0.21</v>
      </c>
      <c r="E955" s="20">
        <v>0.04</v>
      </c>
      <c r="F955" s="20">
        <v>2321.52</v>
      </c>
      <c r="Q955" s="25">
        <v>95.4</v>
      </c>
      <c r="R955" s="20">
        <v>80</v>
      </c>
      <c r="S955" s="20">
        <v>80.28</v>
      </c>
      <c r="T955" s="20">
        <v>-0.28000000000000003</v>
      </c>
      <c r="U955" s="20">
        <v>0.06</v>
      </c>
      <c r="V955" s="20">
        <v>2247.92</v>
      </c>
    </row>
    <row r="956" spans="1:22" ht="16.8" x14ac:dyDescent="0.3">
      <c r="A956" s="20">
        <v>95.6</v>
      </c>
      <c r="B956" s="20">
        <v>80.2</v>
      </c>
      <c r="C956" s="20">
        <v>80</v>
      </c>
      <c r="D956" s="20">
        <v>-0.2</v>
      </c>
      <c r="E956" s="20">
        <v>0.01</v>
      </c>
      <c r="F956" s="20">
        <v>2297.48</v>
      </c>
      <c r="Q956" s="20">
        <v>95.5</v>
      </c>
      <c r="R956" s="20">
        <v>80</v>
      </c>
      <c r="S956" s="20">
        <v>80.319999999999993</v>
      </c>
      <c r="T956" s="20">
        <v>-0.32</v>
      </c>
      <c r="U956" s="20">
        <v>-0.03</v>
      </c>
      <c r="V956" s="20">
        <v>2183.84</v>
      </c>
    </row>
    <row r="957" spans="1:22" ht="16.8" x14ac:dyDescent="0.3">
      <c r="A957" s="20">
        <v>95.7</v>
      </c>
      <c r="B957" s="20">
        <v>80.2</v>
      </c>
      <c r="C957" s="20">
        <v>80</v>
      </c>
      <c r="D957" s="20">
        <v>-0.2</v>
      </c>
      <c r="E957" s="20">
        <v>0</v>
      </c>
      <c r="F957" s="20">
        <v>2281.54</v>
      </c>
      <c r="Q957" s="25">
        <v>95.6</v>
      </c>
      <c r="R957" s="20">
        <v>80</v>
      </c>
      <c r="S957" s="20">
        <v>80.3</v>
      </c>
      <c r="T957" s="20">
        <v>-0.3</v>
      </c>
      <c r="U957" s="20">
        <v>0.01</v>
      </c>
      <c r="V957" s="20">
        <v>2226.12</v>
      </c>
    </row>
    <row r="958" spans="1:22" ht="16.8" x14ac:dyDescent="0.3">
      <c r="A958" s="20">
        <v>95.8</v>
      </c>
      <c r="B958" s="20">
        <v>80.2</v>
      </c>
      <c r="C958" s="20">
        <v>80</v>
      </c>
      <c r="D958" s="20">
        <v>-0.2</v>
      </c>
      <c r="E958" s="20">
        <v>0</v>
      </c>
      <c r="F958" s="20">
        <v>2284.56</v>
      </c>
      <c r="Q958" s="20">
        <v>95.7</v>
      </c>
      <c r="R958" s="20">
        <v>80</v>
      </c>
      <c r="S958" s="20">
        <v>80.34</v>
      </c>
      <c r="T958" s="20">
        <v>-0.34</v>
      </c>
      <c r="U958" s="20">
        <v>-0.04</v>
      </c>
      <c r="V958" s="20">
        <v>2152.9699999999998</v>
      </c>
    </row>
    <row r="959" spans="1:22" ht="16.8" x14ac:dyDescent="0.3">
      <c r="A959" s="20">
        <v>95.9</v>
      </c>
      <c r="B959" s="20">
        <v>80.16</v>
      </c>
      <c r="C959" s="20">
        <v>80</v>
      </c>
      <c r="D959" s="20">
        <v>-0.16</v>
      </c>
      <c r="E959" s="20">
        <v>0.04</v>
      </c>
      <c r="F959" s="20">
        <v>2331.9699999999998</v>
      </c>
      <c r="Q959" s="25">
        <v>95.8</v>
      </c>
      <c r="R959" s="20">
        <v>80</v>
      </c>
      <c r="S959" s="20">
        <v>80.319999999999993</v>
      </c>
      <c r="T959" s="20">
        <v>-0.32</v>
      </c>
      <c r="U959" s="20">
        <v>0.02</v>
      </c>
      <c r="V959" s="20">
        <v>2208.31</v>
      </c>
    </row>
    <row r="960" spans="1:22" ht="16.8" x14ac:dyDescent="0.3">
      <c r="A960" s="20">
        <v>96</v>
      </c>
      <c r="B960" s="20">
        <v>80.150000000000006</v>
      </c>
      <c r="C960" s="20">
        <v>80</v>
      </c>
      <c r="D960" s="20">
        <v>-0.15</v>
      </c>
      <c r="E960" s="20">
        <v>0.01</v>
      </c>
      <c r="F960" s="20">
        <v>2300.06</v>
      </c>
      <c r="Q960" s="25">
        <v>95.9</v>
      </c>
      <c r="R960" s="20">
        <v>80</v>
      </c>
      <c r="S960" s="20">
        <v>80.31</v>
      </c>
      <c r="T960" s="20">
        <v>-0.31</v>
      </c>
      <c r="U960" s="20">
        <v>0.01</v>
      </c>
      <c r="V960" s="20">
        <v>2221.69</v>
      </c>
    </row>
    <row r="961" spans="1:22" ht="16.8" x14ac:dyDescent="0.3">
      <c r="A961" s="20">
        <v>96.1</v>
      </c>
      <c r="B961" s="20">
        <v>80.16</v>
      </c>
      <c r="C961" s="20">
        <v>80</v>
      </c>
      <c r="D961" s="20">
        <v>-0.16</v>
      </c>
      <c r="E961" s="20">
        <v>-0.01</v>
      </c>
      <c r="F961" s="20">
        <v>2279.19</v>
      </c>
      <c r="Q961" s="20">
        <v>96</v>
      </c>
      <c r="R961" s="20">
        <v>80</v>
      </c>
      <c r="S961" s="20">
        <v>80.34</v>
      </c>
      <c r="T961" s="20">
        <v>-0.34</v>
      </c>
      <c r="U961" s="20">
        <v>-0.04</v>
      </c>
      <c r="V961" s="20">
        <v>2148.33</v>
      </c>
    </row>
    <row r="962" spans="1:22" ht="16.8" x14ac:dyDescent="0.3">
      <c r="A962" s="20">
        <v>96.2</v>
      </c>
      <c r="B962" s="20">
        <v>80.14</v>
      </c>
      <c r="C962" s="20">
        <v>80</v>
      </c>
      <c r="D962" s="20">
        <v>-0.14000000000000001</v>
      </c>
      <c r="E962" s="20">
        <v>0.02</v>
      </c>
      <c r="F962" s="20">
        <v>2315.84</v>
      </c>
      <c r="Q962" s="25">
        <v>96.1</v>
      </c>
      <c r="R962" s="20">
        <v>80</v>
      </c>
      <c r="S962" s="20">
        <v>80.319999999999993</v>
      </c>
      <c r="T962" s="20">
        <v>-0.32</v>
      </c>
      <c r="U962" s="20">
        <v>0.03</v>
      </c>
      <c r="V962" s="20">
        <v>2212.7800000000002</v>
      </c>
    </row>
    <row r="963" spans="1:22" ht="16.8" x14ac:dyDescent="0.3">
      <c r="A963" s="20">
        <v>96.3</v>
      </c>
      <c r="B963" s="20">
        <v>80.13</v>
      </c>
      <c r="C963" s="20">
        <v>80</v>
      </c>
      <c r="D963" s="20">
        <v>-0.13</v>
      </c>
      <c r="E963" s="20">
        <v>0.01</v>
      </c>
      <c r="F963" s="20">
        <v>2306.61</v>
      </c>
      <c r="Q963" s="25">
        <v>96.2</v>
      </c>
      <c r="R963" s="20">
        <v>80</v>
      </c>
      <c r="S963" s="20">
        <v>80.319999999999993</v>
      </c>
      <c r="T963" s="20">
        <v>-0.32</v>
      </c>
      <c r="U963" s="20">
        <v>0</v>
      </c>
      <c r="V963" s="20">
        <v>2204.6799999999998</v>
      </c>
    </row>
    <row r="964" spans="1:22" ht="16.8" x14ac:dyDescent="0.3">
      <c r="A964" s="20">
        <v>96.4</v>
      </c>
      <c r="B964" s="20">
        <v>80.14</v>
      </c>
      <c r="C964" s="20">
        <v>80</v>
      </c>
      <c r="D964" s="20">
        <v>-0.14000000000000001</v>
      </c>
      <c r="E964" s="20">
        <v>-0.01</v>
      </c>
      <c r="F964" s="20">
        <v>2282.17</v>
      </c>
      <c r="Q964" s="20">
        <v>96.3</v>
      </c>
      <c r="R964" s="20">
        <v>80</v>
      </c>
      <c r="S964" s="20">
        <v>80.260000000000005</v>
      </c>
      <c r="T964" s="20">
        <v>-0.26</v>
      </c>
      <c r="U964" s="20">
        <v>0.06</v>
      </c>
      <c r="V964" s="20">
        <v>2273.5</v>
      </c>
    </row>
    <row r="965" spans="1:22" ht="16.8" x14ac:dyDescent="0.3">
      <c r="A965" s="20">
        <v>96.5</v>
      </c>
      <c r="B965" s="20">
        <v>80.069999999999993</v>
      </c>
      <c r="C965" s="20">
        <v>80</v>
      </c>
      <c r="D965" s="20">
        <v>-7.0000000000000007E-2</v>
      </c>
      <c r="E965" s="20">
        <v>0.06</v>
      </c>
      <c r="F965" s="20">
        <v>2362.58</v>
      </c>
      <c r="Q965" s="25">
        <v>96.4</v>
      </c>
      <c r="R965" s="20">
        <v>80</v>
      </c>
      <c r="S965" s="20">
        <v>80.25</v>
      </c>
      <c r="T965" s="20">
        <v>-0.25</v>
      </c>
      <c r="U965" s="20">
        <v>0.01</v>
      </c>
      <c r="V965" s="20">
        <v>2286.12</v>
      </c>
    </row>
    <row r="966" spans="1:22" ht="16.8" x14ac:dyDescent="0.3">
      <c r="A966" s="20">
        <v>96.6</v>
      </c>
      <c r="B966" s="20">
        <v>80.09</v>
      </c>
      <c r="C966" s="20">
        <v>80</v>
      </c>
      <c r="D966" s="20">
        <v>-0.09</v>
      </c>
      <c r="E966" s="20">
        <v>-0.02</v>
      </c>
      <c r="F966" s="20">
        <v>2286.46</v>
      </c>
      <c r="Q966" s="20">
        <v>96.5</v>
      </c>
      <c r="R966" s="20">
        <v>80</v>
      </c>
      <c r="S966" s="20">
        <v>80.260000000000005</v>
      </c>
      <c r="T966" s="20">
        <v>-0.26</v>
      </c>
      <c r="U966" s="20">
        <v>-0.01</v>
      </c>
      <c r="V966" s="20">
        <v>2262.6</v>
      </c>
    </row>
    <row r="967" spans="1:22" ht="16.8" x14ac:dyDescent="0.3">
      <c r="A967" s="20">
        <v>96.7</v>
      </c>
      <c r="B967" s="20">
        <v>80.08</v>
      </c>
      <c r="C967" s="20">
        <v>80</v>
      </c>
      <c r="D967" s="20">
        <v>-0.08</v>
      </c>
      <c r="E967" s="20">
        <v>0.01</v>
      </c>
      <c r="F967" s="20">
        <v>2309.5300000000002</v>
      </c>
      <c r="Q967" s="25">
        <v>96.6</v>
      </c>
      <c r="R967" s="20">
        <v>80</v>
      </c>
      <c r="S967" s="20">
        <v>80.260000000000005</v>
      </c>
      <c r="T967" s="20">
        <v>-0.26</v>
      </c>
      <c r="U967" s="20">
        <v>0</v>
      </c>
      <c r="V967" s="20">
        <v>2273.5</v>
      </c>
    </row>
    <row r="968" spans="1:22" ht="16.8" x14ac:dyDescent="0.3">
      <c r="A968" s="20">
        <v>96.8</v>
      </c>
      <c r="B968" s="20">
        <v>80.069999999999993</v>
      </c>
      <c r="C968" s="20">
        <v>80</v>
      </c>
      <c r="D968" s="20">
        <v>-7.0000000000000007E-2</v>
      </c>
      <c r="E968" s="20">
        <v>0.02</v>
      </c>
      <c r="F968" s="20">
        <v>2319.4299999999998</v>
      </c>
      <c r="Q968" s="25">
        <v>96.7</v>
      </c>
      <c r="R968" s="20">
        <v>80</v>
      </c>
      <c r="S968" s="20">
        <v>80.260000000000005</v>
      </c>
      <c r="T968" s="20">
        <v>-0.26</v>
      </c>
      <c r="U968" s="20">
        <v>0</v>
      </c>
      <c r="V968" s="20">
        <v>2277.73</v>
      </c>
    </row>
    <row r="969" spans="1:22" ht="16.8" x14ac:dyDescent="0.3">
      <c r="A969" s="20">
        <v>96.9</v>
      </c>
      <c r="B969" s="20">
        <v>80.069999999999993</v>
      </c>
      <c r="C969" s="20">
        <v>80</v>
      </c>
      <c r="D969" s="20">
        <v>-7.0000000000000007E-2</v>
      </c>
      <c r="E969" s="20">
        <v>-0.01</v>
      </c>
      <c r="F969" s="20">
        <v>2295.9</v>
      </c>
      <c r="Q969" s="20">
        <v>96.8</v>
      </c>
      <c r="R969" s="20">
        <v>80</v>
      </c>
      <c r="S969" s="20">
        <v>80.260000000000005</v>
      </c>
      <c r="T969" s="20">
        <v>-0.26</v>
      </c>
      <c r="U969" s="20">
        <v>0</v>
      </c>
      <c r="V969" s="20">
        <v>2277.73</v>
      </c>
    </row>
    <row r="970" spans="1:22" ht="16.8" x14ac:dyDescent="0.3">
      <c r="A970" s="20">
        <v>97</v>
      </c>
      <c r="B970" s="20">
        <v>80.05</v>
      </c>
      <c r="C970" s="20">
        <v>80</v>
      </c>
      <c r="D970" s="20">
        <v>-0.05</v>
      </c>
      <c r="E970" s="20">
        <v>0.02</v>
      </c>
      <c r="F970" s="20">
        <v>2329.17</v>
      </c>
      <c r="Q970" s="25">
        <v>96.9</v>
      </c>
      <c r="R970" s="20">
        <v>80</v>
      </c>
      <c r="S970" s="20">
        <v>80.260000000000005</v>
      </c>
      <c r="T970" s="20">
        <v>-0.26</v>
      </c>
      <c r="U970" s="20">
        <v>-0.01</v>
      </c>
      <c r="V970" s="20">
        <v>2261.9699999999998</v>
      </c>
    </row>
    <row r="971" spans="1:22" ht="16.8" x14ac:dyDescent="0.3">
      <c r="A971" s="20">
        <v>97.1</v>
      </c>
      <c r="B971" s="20">
        <v>80.040000000000006</v>
      </c>
      <c r="C971" s="20">
        <v>80</v>
      </c>
      <c r="D971" s="20">
        <v>-0.04</v>
      </c>
      <c r="E971" s="20">
        <v>0.01</v>
      </c>
      <c r="F971" s="20">
        <v>2320.2199999999998</v>
      </c>
      <c r="Q971" s="25">
        <v>97</v>
      </c>
      <c r="R971" s="20">
        <v>80</v>
      </c>
      <c r="S971" s="20">
        <v>80.260000000000005</v>
      </c>
      <c r="T971" s="20">
        <v>-0.26</v>
      </c>
      <c r="U971" s="20">
        <v>0</v>
      </c>
      <c r="V971" s="20">
        <v>2269.25</v>
      </c>
    </row>
    <row r="972" spans="1:22" ht="16.8" x14ac:dyDescent="0.3">
      <c r="A972" s="20">
        <v>97.2</v>
      </c>
      <c r="B972" s="20">
        <v>80.06</v>
      </c>
      <c r="C972" s="20">
        <v>80</v>
      </c>
      <c r="D972" s="20">
        <v>-0.06</v>
      </c>
      <c r="E972" s="20">
        <v>-0.02</v>
      </c>
      <c r="F972" s="20">
        <v>2282.9499999999998</v>
      </c>
      <c r="Q972" s="20">
        <v>97.1</v>
      </c>
      <c r="R972" s="20">
        <v>80</v>
      </c>
      <c r="S972" s="20">
        <v>80.260000000000005</v>
      </c>
      <c r="T972" s="20">
        <v>-0.26</v>
      </c>
      <c r="U972" s="20">
        <v>0.01</v>
      </c>
      <c r="V972" s="20">
        <v>2277.73</v>
      </c>
    </row>
    <row r="973" spans="1:22" ht="16.8" x14ac:dyDescent="0.3">
      <c r="A973" s="20">
        <v>97.3</v>
      </c>
      <c r="B973" s="20">
        <v>80.040000000000006</v>
      </c>
      <c r="C973" s="20">
        <v>80</v>
      </c>
      <c r="D973" s="20">
        <v>-0.04</v>
      </c>
      <c r="E973" s="20">
        <v>0.02</v>
      </c>
      <c r="F973" s="20">
        <v>2326.4899999999998</v>
      </c>
      <c r="Q973" s="25">
        <v>97.2</v>
      </c>
      <c r="R973" s="20">
        <v>80</v>
      </c>
      <c r="S973" s="20">
        <v>80.260000000000005</v>
      </c>
      <c r="T973" s="20">
        <v>-0.26</v>
      </c>
      <c r="U973" s="20">
        <v>-0.01</v>
      </c>
      <c r="V973" s="20">
        <v>2261.9699999999998</v>
      </c>
    </row>
    <row r="974" spans="1:22" ht="16.8" x14ac:dyDescent="0.3">
      <c r="A974" s="20">
        <v>97.4</v>
      </c>
      <c r="B974" s="20">
        <v>80.05</v>
      </c>
      <c r="C974" s="20">
        <v>80</v>
      </c>
      <c r="D974" s="20">
        <v>-0.05</v>
      </c>
      <c r="E974" s="20">
        <v>-0.01</v>
      </c>
      <c r="F974" s="20">
        <v>2299.38</v>
      </c>
      <c r="Q974" s="20">
        <v>97.3</v>
      </c>
      <c r="R974" s="20">
        <v>80</v>
      </c>
      <c r="S974" s="20">
        <v>80.27</v>
      </c>
      <c r="T974" s="20">
        <v>-0.27</v>
      </c>
      <c r="U974" s="20">
        <v>0</v>
      </c>
      <c r="V974" s="20">
        <v>2261.38</v>
      </c>
    </row>
    <row r="975" spans="1:22" ht="16.8" x14ac:dyDescent="0.3">
      <c r="A975" s="20">
        <v>97.5</v>
      </c>
      <c r="B975" s="20">
        <v>79.989999999999995</v>
      </c>
      <c r="C975" s="20">
        <v>80</v>
      </c>
      <c r="D975" s="20">
        <v>0.01</v>
      </c>
      <c r="E975" s="20">
        <v>0.06</v>
      </c>
      <c r="F975" s="20">
        <v>2372.04</v>
      </c>
      <c r="Q975" s="25">
        <v>97.4</v>
      </c>
      <c r="R975" s="20">
        <v>80</v>
      </c>
      <c r="S975" s="20">
        <v>80.28</v>
      </c>
      <c r="T975" s="20">
        <v>-0.28000000000000003</v>
      </c>
      <c r="U975" s="20">
        <v>-0.01</v>
      </c>
      <c r="V975" s="20">
        <v>2249.27</v>
      </c>
    </row>
    <row r="976" spans="1:22" ht="16.8" x14ac:dyDescent="0.3">
      <c r="A976" s="20">
        <v>97.6</v>
      </c>
      <c r="B976" s="20">
        <v>79.989999999999995</v>
      </c>
      <c r="C976" s="20">
        <v>80</v>
      </c>
      <c r="D976" s="20">
        <v>0.01</v>
      </c>
      <c r="E976" s="20">
        <v>0</v>
      </c>
      <c r="F976" s="20">
        <v>2317.31</v>
      </c>
      <c r="Q976" s="25">
        <v>97.5</v>
      </c>
      <c r="R976" s="20">
        <v>80</v>
      </c>
      <c r="S976" s="20">
        <v>80.290000000000006</v>
      </c>
      <c r="T976" s="20">
        <v>-0.28999999999999998</v>
      </c>
      <c r="U976" s="20">
        <v>-0.01</v>
      </c>
      <c r="V976" s="20">
        <v>2232.69</v>
      </c>
    </row>
    <row r="977" spans="1:22" ht="16.8" x14ac:dyDescent="0.3">
      <c r="A977" s="20">
        <v>97.7</v>
      </c>
      <c r="B977" s="20">
        <v>80.02</v>
      </c>
      <c r="C977" s="20">
        <v>80</v>
      </c>
      <c r="D977" s="20">
        <v>-0.02</v>
      </c>
      <c r="E977" s="20">
        <v>-0.03</v>
      </c>
      <c r="F977" s="20">
        <v>2286.7600000000002</v>
      </c>
      <c r="Q977" s="20">
        <v>97.6</v>
      </c>
      <c r="R977" s="20">
        <v>80</v>
      </c>
      <c r="S977" s="20">
        <v>80.28</v>
      </c>
      <c r="T977" s="20">
        <v>-0.28000000000000003</v>
      </c>
      <c r="U977" s="20">
        <v>0</v>
      </c>
      <c r="V977" s="20">
        <v>2247.92</v>
      </c>
    </row>
    <row r="978" spans="1:22" ht="16.8" x14ac:dyDescent="0.3">
      <c r="A978" s="20">
        <v>97.8</v>
      </c>
      <c r="B978" s="20">
        <v>79.95</v>
      </c>
      <c r="C978" s="20">
        <v>80</v>
      </c>
      <c r="D978" s="20">
        <v>0.05</v>
      </c>
      <c r="E978" s="20">
        <v>7.0000000000000007E-2</v>
      </c>
      <c r="F978" s="20">
        <v>2390.9</v>
      </c>
      <c r="Q978" s="25">
        <v>97.7</v>
      </c>
      <c r="R978" s="20">
        <v>80</v>
      </c>
      <c r="S978" s="20">
        <v>80.27</v>
      </c>
      <c r="T978" s="20">
        <v>-0.27</v>
      </c>
      <c r="U978" s="20">
        <v>0.02</v>
      </c>
      <c r="V978" s="20">
        <v>2265.02</v>
      </c>
    </row>
    <row r="979" spans="1:22" ht="16.8" x14ac:dyDescent="0.3">
      <c r="A979" s="20">
        <v>97.9</v>
      </c>
      <c r="B979" s="20">
        <v>79.97</v>
      </c>
      <c r="C979" s="20">
        <v>80</v>
      </c>
      <c r="D979" s="20">
        <v>0.03</v>
      </c>
      <c r="E979" s="20">
        <v>-0.03</v>
      </c>
      <c r="F979" s="20">
        <v>2294.79</v>
      </c>
      <c r="Q979" s="25">
        <v>97.8</v>
      </c>
      <c r="R979" s="20">
        <v>80</v>
      </c>
      <c r="S979" s="20">
        <v>80.27</v>
      </c>
      <c r="T979" s="20">
        <v>-0.27</v>
      </c>
      <c r="U979" s="20">
        <v>0</v>
      </c>
      <c r="V979" s="20">
        <v>2265.02</v>
      </c>
    </row>
    <row r="980" spans="1:22" ht="16.8" x14ac:dyDescent="0.3">
      <c r="A980" s="20">
        <v>98</v>
      </c>
      <c r="B980" s="20">
        <v>79.97</v>
      </c>
      <c r="C980" s="20">
        <v>80</v>
      </c>
      <c r="D980" s="20">
        <v>0.03</v>
      </c>
      <c r="E980" s="20">
        <v>0.01</v>
      </c>
      <c r="F980" s="20">
        <v>2329.15</v>
      </c>
      <c r="Q980" s="20">
        <v>97.9</v>
      </c>
      <c r="R980" s="20">
        <v>80</v>
      </c>
      <c r="S980" s="20">
        <v>80.27</v>
      </c>
      <c r="T980" s="20">
        <v>-0.27</v>
      </c>
      <c r="U980" s="20">
        <v>0</v>
      </c>
      <c r="V980" s="20">
        <v>2265.02</v>
      </c>
    </row>
    <row r="981" spans="1:22" ht="16.8" x14ac:dyDescent="0.3">
      <c r="A981" s="20">
        <v>98.1</v>
      </c>
      <c r="B981" s="20">
        <v>79.97</v>
      </c>
      <c r="C981" s="20">
        <v>80</v>
      </c>
      <c r="D981" s="20">
        <v>0.03</v>
      </c>
      <c r="E981" s="20">
        <v>-0.01</v>
      </c>
      <c r="F981" s="20">
        <v>2313.23</v>
      </c>
      <c r="Q981" s="25">
        <v>98</v>
      </c>
      <c r="R981" s="20">
        <v>80</v>
      </c>
      <c r="S981" s="20">
        <v>80.28</v>
      </c>
      <c r="T981" s="20">
        <v>-0.28000000000000003</v>
      </c>
      <c r="U981" s="20">
        <v>-0.01</v>
      </c>
      <c r="V981" s="20">
        <v>2249.27</v>
      </c>
    </row>
    <row r="982" spans="1:22" ht="16.8" x14ac:dyDescent="0.3">
      <c r="A982" s="20">
        <v>98.2</v>
      </c>
      <c r="B982" s="20">
        <v>79.97</v>
      </c>
      <c r="C982" s="20">
        <v>80</v>
      </c>
      <c r="D982" s="20">
        <v>0.03</v>
      </c>
      <c r="E982" s="20">
        <v>0.01</v>
      </c>
      <c r="F982" s="20">
        <v>2329.34</v>
      </c>
      <c r="Q982" s="20">
        <v>98.1</v>
      </c>
      <c r="R982" s="20">
        <v>80</v>
      </c>
      <c r="S982" s="20">
        <v>80.27</v>
      </c>
      <c r="T982" s="20">
        <v>-0.27</v>
      </c>
      <c r="U982" s="20">
        <v>0</v>
      </c>
      <c r="V982" s="20">
        <v>2260.77</v>
      </c>
    </row>
    <row r="983" spans="1:22" ht="16.8" x14ac:dyDescent="0.3">
      <c r="A983" s="20">
        <v>98.3</v>
      </c>
      <c r="B983" s="20">
        <v>79.959999999999994</v>
      </c>
      <c r="C983" s="20">
        <v>80</v>
      </c>
      <c r="D983" s="20">
        <v>0.04</v>
      </c>
      <c r="E983" s="20">
        <v>0.01</v>
      </c>
      <c r="F983" s="20">
        <v>2330.88</v>
      </c>
      <c r="Q983" s="25">
        <v>98.2</v>
      </c>
      <c r="R983" s="20">
        <v>80</v>
      </c>
      <c r="S983" s="20">
        <v>80.239999999999995</v>
      </c>
      <c r="T983" s="20">
        <v>-0.24</v>
      </c>
      <c r="U983" s="20">
        <v>0.04</v>
      </c>
      <c r="V983" s="20">
        <v>2298.62</v>
      </c>
    </row>
    <row r="984" spans="1:22" ht="16.8" x14ac:dyDescent="0.3">
      <c r="A984" s="20">
        <v>98.4</v>
      </c>
      <c r="B984" s="20">
        <v>79.98</v>
      </c>
      <c r="C984" s="20">
        <v>80</v>
      </c>
      <c r="D984" s="20">
        <v>0.02</v>
      </c>
      <c r="E984" s="20">
        <v>-0.02</v>
      </c>
      <c r="F984" s="20">
        <v>2301.87</v>
      </c>
      <c r="Q984" s="25">
        <v>98.3</v>
      </c>
      <c r="R984" s="20">
        <v>80</v>
      </c>
      <c r="S984" s="20">
        <v>80.28</v>
      </c>
      <c r="T984" s="20">
        <v>-0.28000000000000003</v>
      </c>
      <c r="U984" s="20">
        <v>-0.04</v>
      </c>
      <c r="V984" s="20">
        <v>2220.2600000000002</v>
      </c>
    </row>
    <row r="985" spans="1:22" ht="16.8" x14ac:dyDescent="0.3">
      <c r="A985" s="20">
        <v>98.5</v>
      </c>
      <c r="B985" s="20">
        <v>79.94</v>
      </c>
      <c r="C985" s="20">
        <v>80</v>
      </c>
      <c r="D985" s="20">
        <v>0.06</v>
      </c>
      <c r="E985" s="20">
        <v>0.04</v>
      </c>
      <c r="F985" s="20">
        <v>2363.88</v>
      </c>
      <c r="Q985" s="20">
        <v>98.4</v>
      </c>
      <c r="R985" s="20">
        <v>80</v>
      </c>
      <c r="S985" s="20">
        <v>80.3</v>
      </c>
      <c r="T985" s="20">
        <v>-0.3</v>
      </c>
      <c r="U985" s="20">
        <v>-0.03</v>
      </c>
      <c r="V985" s="20">
        <v>2200.75</v>
      </c>
    </row>
    <row r="986" spans="1:22" ht="16.8" x14ac:dyDescent="0.3">
      <c r="A986" s="20">
        <v>98.6</v>
      </c>
      <c r="B986" s="20">
        <v>79.930000000000007</v>
      </c>
      <c r="C986" s="20">
        <v>80</v>
      </c>
      <c r="D986" s="20">
        <v>7.0000000000000007E-2</v>
      </c>
      <c r="E986" s="20">
        <v>0.01</v>
      </c>
      <c r="F986" s="20">
        <v>2336.3000000000002</v>
      </c>
      <c r="Q986" s="25">
        <v>98.5</v>
      </c>
      <c r="R986" s="20">
        <v>80</v>
      </c>
      <c r="S986" s="20">
        <v>80.25</v>
      </c>
      <c r="T986" s="20">
        <v>-0.25</v>
      </c>
      <c r="U986" s="20">
        <v>0.06</v>
      </c>
      <c r="V986" s="20">
        <v>2286.12</v>
      </c>
    </row>
    <row r="987" spans="1:22" ht="16.8" x14ac:dyDescent="0.3">
      <c r="A987" s="20">
        <v>98.7</v>
      </c>
      <c r="B987" s="20">
        <v>79.95</v>
      </c>
      <c r="C987" s="20">
        <v>80</v>
      </c>
      <c r="D987" s="20">
        <v>0.05</v>
      </c>
      <c r="E987" s="20">
        <v>-0.02</v>
      </c>
      <c r="F987" s="20">
        <v>2307.39</v>
      </c>
      <c r="Q987" s="20">
        <v>98.6</v>
      </c>
      <c r="R987" s="20">
        <v>80</v>
      </c>
      <c r="S987" s="20">
        <v>80.260000000000005</v>
      </c>
      <c r="T987" s="20">
        <v>-0.26</v>
      </c>
      <c r="U987" s="20">
        <v>-0.01</v>
      </c>
      <c r="V987" s="20">
        <v>2262.6</v>
      </c>
    </row>
    <row r="988" spans="1:22" ht="16.8" x14ac:dyDescent="0.3">
      <c r="A988" s="20">
        <v>98.8</v>
      </c>
      <c r="B988" s="20">
        <v>79.92</v>
      </c>
      <c r="C988" s="20">
        <v>80</v>
      </c>
      <c r="D988" s="20">
        <v>0.08</v>
      </c>
      <c r="E988" s="20">
        <v>0.02</v>
      </c>
      <c r="F988" s="20">
        <v>2352</v>
      </c>
      <c r="Q988" s="25">
        <v>98.7</v>
      </c>
      <c r="R988" s="20">
        <v>80</v>
      </c>
      <c r="S988" s="20">
        <v>80.290000000000006</v>
      </c>
      <c r="T988" s="20">
        <v>-0.28999999999999998</v>
      </c>
      <c r="U988" s="20">
        <v>-0.03</v>
      </c>
      <c r="V988" s="20">
        <v>2210.23</v>
      </c>
    </row>
    <row r="989" spans="1:22" ht="16.8" x14ac:dyDescent="0.3">
      <c r="A989" s="20">
        <v>98.9</v>
      </c>
      <c r="B989" s="20">
        <v>79.95</v>
      </c>
      <c r="C989" s="20">
        <v>80</v>
      </c>
      <c r="D989" s="20">
        <v>0.05</v>
      </c>
      <c r="E989" s="20">
        <v>-0.03</v>
      </c>
      <c r="F989" s="20">
        <v>2299.7600000000002</v>
      </c>
      <c r="Q989" s="25">
        <v>98.8</v>
      </c>
      <c r="R989" s="20">
        <v>80</v>
      </c>
      <c r="S989" s="20">
        <v>80.23</v>
      </c>
      <c r="T989" s="20">
        <v>-0.23</v>
      </c>
      <c r="U989" s="20">
        <v>0.06</v>
      </c>
      <c r="V989" s="20">
        <v>2306.9299999999998</v>
      </c>
    </row>
    <row r="990" spans="1:22" ht="16.8" x14ac:dyDescent="0.3">
      <c r="A990" s="20">
        <v>99</v>
      </c>
      <c r="B990" s="20">
        <v>79.95</v>
      </c>
      <c r="C990" s="20">
        <v>80</v>
      </c>
      <c r="D990" s="20">
        <v>0.05</v>
      </c>
      <c r="E990" s="20">
        <v>0</v>
      </c>
      <c r="F990" s="20">
        <v>2325.46</v>
      </c>
      <c r="Q990" s="20">
        <v>98.9</v>
      </c>
      <c r="R990" s="20">
        <v>80</v>
      </c>
      <c r="S990" s="20">
        <v>80.28</v>
      </c>
      <c r="T990" s="20">
        <v>-0.28000000000000003</v>
      </c>
      <c r="U990" s="20">
        <v>-0.05</v>
      </c>
      <c r="V990" s="20">
        <v>2213.0100000000002</v>
      </c>
    </row>
    <row r="991" spans="1:22" ht="16.8" x14ac:dyDescent="0.3">
      <c r="A991" s="20">
        <v>99.1</v>
      </c>
      <c r="B991" s="20">
        <v>79.959999999999994</v>
      </c>
      <c r="C991" s="20">
        <v>80</v>
      </c>
      <c r="D991" s="20">
        <v>0.04</v>
      </c>
      <c r="E991" s="20">
        <v>0</v>
      </c>
      <c r="F991" s="20">
        <v>2321.23</v>
      </c>
      <c r="Q991" s="25">
        <v>99</v>
      </c>
      <c r="R991" s="20">
        <v>80</v>
      </c>
      <c r="S991" s="20">
        <v>80.180000000000007</v>
      </c>
      <c r="T991" s="20">
        <v>-0.18</v>
      </c>
      <c r="U991" s="20">
        <v>0.09</v>
      </c>
      <c r="V991" s="20">
        <v>2352.2399999999998</v>
      </c>
    </row>
    <row r="992" spans="1:22" ht="16.8" x14ac:dyDescent="0.3">
      <c r="A992" s="20">
        <v>99.2</v>
      </c>
      <c r="B992" s="20">
        <v>79.95</v>
      </c>
      <c r="C992" s="20">
        <v>80</v>
      </c>
      <c r="D992" s="20">
        <v>0.05</v>
      </c>
      <c r="E992" s="20">
        <v>0</v>
      </c>
      <c r="F992" s="20">
        <v>2329.38</v>
      </c>
      <c r="Q992" s="20">
        <v>99.1</v>
      </c>
      <c r="R992" s="20">
        <v>80</v>
      </c>
      <c r="S992" s="20">
        <v>80.23</v>
      </c>
      <c r="T992" s="20">
        <v>-0.23</v>
      </c>
      <c r="U992" s="20">
        <v>-0.04</v>
      </c>
      <c r="V992" s="20">
        <v>2266.56</v>
      </c>
    </row>
    <row r="993" spans="1:22" ht="16.8" x14ac:dyDescent="0.3">
      <c r="A993" s="20">
        <v>99.3</v>
      </c>
      <c r="B993" s="20">
        <v>79.97</v>
      </c>
      <c r="C993" s="20">
        <v>80</v>
      </c>
      <c r="D993" s="20">
        <v>0.03</v>
      </c>
      <c r="E993" s="20">
        <v>-0.01</v>
      </c>
      <c r="F993" s="20">
        <v>2312.7800000000002</v>
      </c>
      <c r="Q993" s="25">
        <v>99.2</v>
      </c>
      <c r="R993" s="20">
        <v>80</v>
      </c>
      <c r="S993" s="20">
        <v>80.290000000000006</v>
      </c>
      <c r="T993" s="20">
        <v>-0.28999999999999998</v>
      </c>
      <c r="U993" s="20">
        <v>-0.06</v>
      </c>
      <c r="V993" s="20">
        <v>2189.3200000000002</v>
      </c>
    </row>
    <row r="994" spans="1:22" ht="16.8" x14ac:dyDescent="0.3">
      <c r="A994" s="20">
        <v>99.4</v>
      </c>
      <c r="B994" s="20">
        <v>79.94</v>
      </c>
      <c r="C994" s="20">
        <v>80</v>
      </c>
      <c r="D994" s="20">
        <v>0.06</v>
      </c>
      <c r="E994" s="20">
        <v>0.02</v>
      </c>
      <c r="F994" s="20">
        <v>2350.04</v>
      </c>
      <c r="Q994" s="25">
        <v>99.3</v>
      </c>
      <c r="R994" s="20">
        <v>80</v>
      </c>
      <c r="S994" s="20">
        <v>80.11</v>
      </c>
      <c r="T994" s="20">
        <v>-0.11</v>
      </c>
      <c r="U994" s="20">
        <v>0.18</v>
      </c>
      <c r="V994" s="20">
        <v>2416.59</v>
      </c>
    </row>
    <row r="995" spans="1:22" ht="16.8" x14ac:dyDescent="0.3">
      <c r="A995" s="20">
        <v>99.5</v>
      </c>
      <c r="B995" s="20">
        <v>79.92</v>
      </c>
      <c r="C995" s="20">
        <v>80</v>
      </c>
      <c r="D995" s="20">
        <v>0.08</v>
      </c>
      <c r="E995" s="20">
        <v>0.02</v>
      </c>
      <c r="F995" s="20">
        <v>2354.52</v>
      </c>
      <c r="Q995" s="20">
        <v>99.4</v>
      </c>
      <c r="R995" s="20">
        <v>80</v>
      </c>
      <c r="S995" s="20">
        <v>80.25</v>
      </c>
      <c r="T995" s="20">
        <v>-0.25</v>
      </c>
      <c r="U995" s="20">
        <v>-0.14000000000000001</v>
      </c>
      <c r="V995" s="20">
        <v>2168.41</v>
      </c>
    </row>
    <row r="996" spans="1:22" ht="16.8" x14ac:dyDescent="0.3">
      <c r="A996" s="20">
        <v>99.6</v>
      </c>
      <c r="B996" s="20">
        <v>79.95</v>
      </c>
      <c r="C996" s="20">
        <v>80</v>
      </c>
      <c r="D996" s="20">
        <v>0.05</v>
      </c>
      <c r="E996" s="20">
        <v>-0.04</v>
      </c>
      <c r="F996" s="20">
        <v>2293.5700000000002</v>
      </c>
      <c r="Q996" s="25">
        <v>99.5</v>
      </c>
      <c r="R996" s="20">
        <v>80</v>
      </c>
      <c r="S996" s="20">
        <v>80.02</v>
      </c>
      <c r="T996" s="20">
        <v>-0.02</v>
      </c>
      <c r="U996" s="20">
        <v>0.23</v>
      </c>
      <c r="V996" s="20">
        <v>2517.9</v>
      </c>
    </row>
    <row r="997" spans="1:22" ht="16.8" x14ac:dyDescent="0.3">
      <c r="A997" s="20">
        <v>99.7</v>
      </c>
      <c r="B997" s="20">
        <v>79.92</v>
      </c>
      <c r="C997" s="20">
        <v>80</v>
      </c>
      <c r="D997" s="20">
        <v>0.08</v>
      </c>
      <c r="E997" s="20">
        <v>0.03</v>
      </c>
      <c r="F997" s="20">
        <v>2361.5100000000002</v>
      </c>
      <c r="Q997" s="20">
        <v>99.6</v>
      </c>
      <c r="R997" s="20">
        <v>80</v>
      </c>
      <c r="S997" s="20">
        <v>80.27</v>
      </c>
      <c r="T997" s="20">
        <v>-0.27</v>
      </c>
      <c r="U997" s="20">
        <v>-0.25</v>
      </c>
      <c r="V997" s="20">
        <v>2075.35</v>
      </c>
    </row>
    <row r="998" spans="1:22" ht="16.8" x14ac:dyDescent="0.3">
      <c r="A998" s="20">
        <v>99.8</v>
      </c>
      <c r="B998" s="20">
        <v>79.98</v>
      </c>
      <c r="C998" s="20">
        <v>80</v>
      </c>
      <c r="D998" s="20">
        <v>0.02</v>
      </c>
      <c r="E998" s="20">
        <v>-0.06</v>
      </c>
      <c r="F998" s="20">
        <v>2267.0500000000002</v>
      </c>
      <c r="Q998" s="25">
        <v>99.7</v>
      </c>
      <c r="R998" s="20">
        <v>80</v>
      </c>
      <c r="S998" s="20">
        <v>80.11</v>
      </c>
      <c r="T998" s="20">
        <v>-0.11</v>
      </c>
      <c r="U998" s="20">
        <v>0.17</v>
      </c>
      <c r="V998" s="20">
        <v>2419.7199999999998</v>
      </c>
    </row>
    <row r="999" spans="1:22" ht="16.8" x14ac:dyDescent="0.3">
      <c r="A999" s="20">
        <v>99.9</v>
      </c>
      <c r="B999" s="20">
        <v>79.95</v>
      </c>
      <c r="C999" s="20">
        <v>80</v>
      </c>
      <c r="D999" s="20">
        <v>0.05</v>
      </c>
      <c r="E999" s="20">
        <v>0.03</v>
      </c>
      <c r="F999" s="20">
        <v>2352.42</v>
      </c>
      <c r="Q999" s="25">
        <v>99.8</v>
      </c>
      <c r="R999" s="20">
        <v>80</v>
      </c>
      <c r="S999" s="20">
        <v>80.319999999999993</v>
      </c>
      <c r="T999" s="20">
        <v>-0.32</v>
      </c>
      <c r="U999" s="20">
        <v>-0.22</v>
      </c>
      <c r="V999" s="20">
        <v>2043.74</v>
      </c>
    </row>
    <row r="1000" spans="1:22" ht="16.8" x14ac:dyDescent="0.3">
      <c r="A1000" s="20">
        <v>100</v>
      </c>
      <c r="B1000" s="20">
        <v>79.98</v>
      </c>
      <c r="C1000" s="20">
        <v>80</v>
      </c>
      <c r="D1000" s="20">
        <v>0.02</v>
      </c>
      <c r="E1000" s="20">
        <v>-0.02</v>
      </c>
      <c r="F1000" s="20">
        <v>2300.8000000000002</v>
      </c>
      <c r="Q1000" s="20">
        <v>99.9</v>
      </c>
      <c r="R1000" s="20">
        <v>80</v>
      </c>
      <c r="S1000" s="20">
        <v>80.06</v>
      </c>
      <c r="T1000" s="20">
        <v>-0.06</v>
      </c>
      <c r="U1000" s="20">
        <v>0.27</v>
      </c>
      <c r="V1000" s="20">
        <v>2458.52</v>
      </c>
    </row>
    <row r="1001" spans="1:22" ht="16.8" x14ac:dyDescent="0.3">
      <c r="A1001" s="24">
        <v>100.1</v>
      </c>
      <c r="B1001" s="24">
        <v>79.97</v>
      </c>
      <c r="C1001" s="24">
        <v>80</v>
      </c>
      <c r="D1001" s="24">
        <v>0.03</v>
      </c>
      <c r="E1001" s="24">
        <v>0.01</v>
      </c>
      <c r="F1001" s="24">
        <v>2331.52</v>
      </c>
      <c r="Q1001" s="25">
        <v>100</v>
      </c>
      <c r="R1001" s="20">
        <v>80</v>
      </c>
      <c r="S1001" s="20">
        <v>80.31</v>
      </c>
      <c r="T1001" s="20">
        <v>-0.31</v>
      </c>
      <c r="U1001" s="20">
        <v>-0.25</v>
      </c>
      <c r="V1001" s="20">
        <v>2022.71</v>
      </c>
    </row>
    <row r="1002" spans="1:22" ht="16.8" x14ac:dyDescent="0.3">
      <c r="Q1002" s="33">
        <v>100.1</v>
      </c>
      <c r="R1002" s="24">
        <v>80</v>
      </c>
      <c r="S1002" s="24">
        <v>80.09</v>
      </c>
      <c r="T1002" s="24">
        <v>-0.09</v>
      </c>
      <c r="U1002" s="24">
        <v>0.23</v>
      </c>
      <c r="V1002" s="24">
        <v>2430.41</v>
      </c>
    </row>
  </sheetData>
  <mergeCells count="75">
    <mergeCell ref="AL26:AM26"/>
    <mergeCell ref="BL2:BM2"/>
    <mergeCell ref="BN2:BO2"/>
    <mergeCell ref="BP2:BQ2"/>
    <mergeCell ref="BL4:BL6"/>
    <mergeCell ref="BM4:BM6"/>
    <mergeCell ref="BN4:BN6"/>
    <mergeCell ref="BO4:BO6"/>
    <mergeCell ref="BP4:BP6"/>
    <mergeCell ref="BQ4:BQ6"/>
    <mergeCell ref="AW4:AW6"/>
    <mergeCell ref="AL14:AM14"/>
    <mergeCell ref="AX11:AY11"/>
    <mergeCell ref="AR4:AR6"/>
    <mergeCell ref="AS4:AS6"/>
    <mergeCell ref="AT4:AT6"/>
    <mergeCell ref="AU4:AU6"/>
    <mergeCell ref="AV4:AV6"/>
    <mergeCell ref="AL1:AW1"/>
    <mergeCell ref="AL2:AM2"/>
    <mergeCell ref="AN2:AO2"/>
    <mergeCell ref="AP2:AQ2"/>
    <mergeCell ref="AR2:AS2"/>
    <mergeCell ref="AT2:AU2"/>
    <mergeCell ref="AV2:AW2"/>
    <mergeCell ref="AA16:AB16"/>
    <mergeCell ref="AC16:AD16"/>
    <mergeCell ref="AE16:AF16"/>
    <mergeCell ref="AA18:AB18"/>
    <mergeCell ref="AC18:AD18"/>
    <mergeCell ref="AE18:AF18"/>
    <mergeCell ref="X27:Z27"/>
    <mergeCell ref="X29:Z29"/>
    <mergeCell ref="AA22:AB22"/>
    <mergeCell ref="AA20:AB20"/>
    <mergeCell ref="AC20:AD20"/>
    <mergeCell ref="AA23:AB23"/>
    <mergeCell ref="AC22:AD22"/>
    <mergeCell ref="AC23:AD23"/>
    <mergeCell ref="AA25:AF25"/>
    <mergeCell ref="AA27:AF27"/>
    <mergeCell ref="AA29:AF29"/>
    <mergeCell ref="AE20:AF20"/>
    <mergeCell ref="AE22:AF22"/>
    <mergeCell ref="AE23:AF23"/>
    <mergeCell ref="X18:Z18"/>
    <mergeCell ref="X20:Z20"/>
    <mergeCell ref="X22:Z22"/>
    <mergeCell ref="X23:Z23"/>
    <mergeCell ref="X25:Z25"/>
    <mergeCell ref="H29:J29"/>
    <mergeCell ref="H31:J31"/>
    <mergeCell ref="K20:L20"/>
    <mergeCell ref="K22:L22"/>
    <mergeCell ref="K18:L18"/>
    <mergeCell ref="H22:J22"/>
    <mergeCell ref="H20:J20"/>
    <mergeCell ref="H24:J24"/>
    <mergeCell ref="H25:J25"/>
    <mergeCell ref="H27:J27"/>
    <mergeCell ref="K27:P27"/>
    <mergeCell ref="K29:P29"/>
    <mergeCell ref="K31:P31"/>
    <mergeCell ref="O25:P25"/>
    <mergeCell ref="O18:P18"/>
    <mergeCell ref="K24:L24"/>
    <mergeCell ref="O20:P20"/>
    <mergeCell ref="O22:P22"/>
    <mergeCell ref="O24:P24"/>
    <mergeCell ref="M18:N18"/>
    <mergeCell ref="K25:L25"/>
    <mergeCell ref="M20:N20"/>
    <mergeCell ref="M22:N22"/>
    <mergeCell ref="M24:N24"/>
    <mergeCell ref="M25:N25"/>
  </mergeCells>
  <dataValidations count="6">
    <dataValidation allowBlank="1" showInputMessage="1" showErrorMessage="1" prompt="TBL_HST[CH6]" sqref="F2:F1001 V1:V1002" xr:uid="{D1642398-A03B-4338-A115-3F72604FA31F}"/>
    <dataValidation allowBlank="1" showInputMessage="1" showErrorMessage="1" prompt="TBL_HST[CH5]" sqref="E2:E1001 U1:U1002" xr:uid="{6C0BDC1B-14B5-4720-844C-8F1D4EFCE0CB}"/>
    <dataValidation allowBlank="1" showInputMessage="1" showErrorMessage="1" prompt="TBL_HST[CH4]" sqref="D2:D1001 V222 T1:T221 T223:T1002" xr:uid="{3602ABAD-C035-4518-9BED-5EB683B55D3B}"/>
    <dataValidation allowBlank="1" showInputMessage="1" showErrorMessage="1" prompt="TBL_HST[CH3]" sqref="C2:C1001 U222 S1:S1002" xr:uid="{7CD9D394-C181-4FA8-AE83-ED0158C61988}"/>
    <dataValidation allowBlank="1" showInputMessage="1" showErrorMessage="1" prompt="TBL_HST[CH2]" sqref="B2:B1001 T222 R1:R1002" xr:uid="{211DCFCD-662C-4D7C-86BD-8919F7DFB6F9}"/>
    <dataValidation allowBlank="1" showInputMessage="1" showErrorMessage="1" prompt="TBL_HST[CH1]" sqref="A2:A1001 Q1:Q1002" xr:uid="{74E43A01-3795-48D9-83E7-7D22E8A26DE9}"/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9BE6C-8B46-4A0C-8E8D-E9E64C18CA09}">
  <dimension ref="A1:K1807"/>
  <sheetViews>
    <sheetView topLeftCell="A993" zoomScale="130" workbookViewId="0">
      <selection activeCell="B8" sqref="B8:G1007"/>
    </sheetView>
  </sheetViews>
  <sheetFormatPr defaultColWidth="8.88671875" defaultRowHeight="14.4" x14ac:dyDescent="0.3"/>
  <cols>
    <col min="1" max="1" width="14.77734375" style="1" customWidth="1"/>
    <col min="2" max="11" width="10.77734375" style="1" customWidth="1"/>
    <col min="12" max="12" width="16.77734375" style="1" customWidth="1"/>
    <col min="13" max="16384" width="8.88671875" style="1"/>
  </cols>
  <sheetData>
    <row r="1" spans="1:11" ht="29.4" x14ac:dyDescent="0.65">
      <c r="A1" s="36" t="s">
        <v>54</v>
      </c>
      <c r="B1" s="36"/>
      <c r="C1" s="36"/>
      <c r="D1" s="36"/>
      <c r="E1" s="36"/>
      <c r="F1" s="36"/>
      <c r="G1" s="36"/>
      <c r="H1" s="36"/>
      <c r="I1" s="36"/>
      <c r="J1" s="36"/>
    </row>
    <row r="2" spans="1:11" ht="16.8" x14ac:dyDescent="0.3">
      <c r="A2" s="37" t="s">
        <v>32</v>
      </c>
      <c r="B2" s="37"/>
      <c r="C2" s="37"/>
      <c r="D2" s="37"/>
      <c r="E2" s="37"/>
      <c r="F2" s="37"/>
      <c r="G2" s="37"/>
      <c r="H2" s="37"/>
      <c r="I2" s="37"/>
      <c r="J2" s="37"/>
    </row>
    <row r="3" spans="1:11" ht="33.450000000000003" customHeight="1" x14ac:dyDescent="0.45">
      <c r="A3" s="38" t="s">
        <v>33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1" ht="15" x14ac:dyDescent="0.3">
      <c r="A4" s="16" t="s">
        <v>34</v>
      </c>
      <c r="B4" s="16" t="s">
        <v>11</v>
      </c>
      <c r="C4" s="16" t="s">
        <v>13</v>
      </c>
      <c r="D4" s="16" t="s">
        <v>14</v>
      </c>
      <c r="E4" s="16" t="s">
        <v>15</v>
      </c>
      <c r="F4" s="16" t="s">
        <v>16</v>
      </c>
      <c r="G4" s="16" t="s">
        <v>17</v>
      </c>
      <c r="H4" s="16" t="s">
        <v>18</v>
      </c>
      <c r="I4" s="16" t="s">
        <v>19</v>
      </c>
      <c r="J4" s="16" t="s">
        <v>20</v>
      </c>
      <c r="K4" s="16" t="s">
        <v>21</v>
      </c>
    </row>
    <row r="5" spans="1:11" ht="19.5" customHeight="1" x14ac:dyDescent="0.3">
      <c r="A5" s="18">
        <v>46045.617324965278</v>
      </c>
      <c r="B5" s="17">
        <v>100.1</v>
      </c>
      <c r="C5" s="17">
        <v>80</v>
      </c>
      <c r="D5" s="17">
        <v>80.09</v>
      </c>
      <c r="E5" s="17">
        <v>-0.09</v>
      </c>
      <c r="F5" s="17">
        <v>0.23</v>
      </c>
      <c r="G5" s="17">
        <v>2430.41</v>
      </c>
      <c r="H5" s="17"/>
      <c r="I5" s="17"/>
      <c r="J5" s="17"/>
      <c r="K5" s="17"/>
    </row>
    <row r="6" spans="1:11" ht="33.450000000000003" customHeight="1" x14ac:dyDescent="0.45">
      <c r="A6" s="39" t="s">
        <v>35</v>
      </c>
      <c r="B6" s="39"/>
      <c r="C6" s="39"/>
      <c r="D6" s="39"/>
      <c r="E6" s="39"/>
      <c r="F6" s="39"/>
      <c r="G6" s="39"/>
      <c r="H6" s="39"/>
      <c r="I6" s="39"/>
      <c r="J6" s="39"/>
      <c r="K6" s="39"/>
    </row>
    <row r="7" spans="1:11" ht="15" x14ac:dyDescent="0.3">
      <c r="A7" s="16" t="s">
        <v>34</v>
      </c>
      <c r="B7" s="16" t="s">
        <v>11</v>
      </c>
      <c r="C7" s="16" t="s">
        <v>13</v>
      </c>
      <c r="D7" s="16" t="s">
        <v>14</v>
      </c>
      <c r="E7" s="16" t="s">
        <v>15</v>
      </c>
      <c r="F7" s="16" t="s">
        <v>16</v>
      </c>
      <c r="G7" s="16" t="s">
        <v>17</v>
      </c>
      <c r="H7" s="16" t="s">
        <v>18</v>
      </c>
      <c r="I7" s="16" t="s">
        <v>19</v>
      </c>
      <c r="J7" s="16" t="s">
        <v>20</v>
      </c>
      <c r="K7" s="16" t="s">
        <v>21</v>
      </c>
    </row>
    <row r="8" spans="1:11" ht="19.5" customHeight="1" x14ac:dyDescent="0.3">
      <c r="A8" s="21">
        <v>46045.616168692133</v>
      </c>
      <c r="B8" s="19">
        <v>0.2</v>
      </c>
      <c r="C8" s="19">
        <v>50</v>
      </c>
      <c r="D8" s="19">
        <v>29.6</v>
      </c>
      <c r="E8" s="19">
        <v>20.399999999999999</v>
      </c>
      <c r="F8" s="19">
        <v>0.04</v>
      </c>
      <c r="G8" s="19">
        <v>3439.23</v>
      </c>
      <c r="H8" s="19"/>
      <c r="I8" s="19"/>
      <c r="J8" s="19"/>
      <c r="K8" s="19"/>
    </row>
    <row r="9" spans="1:11" ht="19.5" customHeight="1" x14ac:dyDescent="0.3">
      <c r="A9" s="22">
        <v>46045.616169780093</v>
      </c>
      <c r="B9" s="20">
        <v>0.3</v>
      </c>
      <c r="C9" s="20">
        <v>50</v>
      </c>
      <c r="D9" s="20">
        <v>29.77</v>
      </c>
      <c r="E9" s="20">
        <v>20.23</v>
      </c>
      <c r="F9" s="20">
        <v>-0.17</v>
      </c>
      <c r="G9" s="20">
        <v>3408.93</v>
      </c>
      <c r="H9" s="20"/>
      <c r="I9" s="20"/>
      <c r="J9" s="20"/>
      <c r="K9" s="20"/>
    </row>
    <row r="10" spans="1:11" ht="19.5" customHeight="1" x14ac:dyDescent="0.3">
      <c r="A10" s="22">
        <v>46045.616170937501</v>
      </c>
      <c r="B10" s="20">
        <v>0.4</v>
      </c>
      <c r="C10" s="20">
        <v>50</v>
      </c>
      <c r="D10" s="20">
        <v>29.81</v>
      </c>
      <c r="E10" s="20">
        <v>20.190000000000001</v>
      </c>
      <c r="F10" s="20">
        <v>-0.04</v>
      </c>
      <c r="G10" s="20">
        <v>3441.12</v>
      </c>
      <c r="H10" s="20"/>
      <c r="I10" s="20"/>
      <c r="J10" s="20"/>
      <c r="K10" s="20"/>
    </row>
    <row r="11" spans="1:11" ht="19.5" customHeight="1" x14ac:dyDescent="0.3">
      <c r="A11" s="22">
        <v>46045.616172094909</v>
      </c>
      <c r="B11" s="20">
        <v>0.5</v>
      </c>
      <c r="C11" s="20">
        <v>50</v>
      </c>
      <c r="D11" s="20">
        <v>29.83</v>
      </c>
      <c r="E11" s="20">
        <v>20.170000000000002</v>
      </c>
      <c r="F11" s="20">
        <v>-0.02</v>
      </c>
      <c r="G11" s="20">
        <v>3443.96</v>
      </c>
      <c r="H11" s="20"/>
      <c r="I11" s="20"/>
      <c r="J11" s="20"/>
      <c r="K11" s="20"/>
    </row>
    <row r="12" spans="1:11" ht="19.5" customHeight="1" x14ac:dyDescent="0.3">
      <c r="A12" s="22">
        <v>46045.616173252318</v>
      </c>
      <c r="B12" s="20">
        <v>0.6</v>
      </c>
      <c r="C12" s="20">
        <v>50</v>
      </c>
      <c r="D12" s="20">
        <v>29.91</v>
      </c>
      <c r="E12" s="20">
        <v>20.09</v>
      </c>
      <c r="F12" s="20">
        <v>-0.08</v>
      </c>
      <c r="G12" s="20">
        <v>3430.57</v>
      </c>
      <c r="H12" s="20"/>
      <c r="I12" s="20"/>
      <c r="J12" s="20"/>
      <c r="K12" s="20"/>
    </row>
    <row r="13" spans="1:11" ht="19.5" customHeight="1" x14ac:dyDescent="0.3">
      <c r="A13" s="22">
        <v>46045.616174432871</v>
      </c>
      <c r="B13" s="20">
        <v>0.7</v>
      </c>
      <c r="C13" s="20">
        <v>50</v>
      </c>
      <c r="D13" s="20">
        <v>30.12</v>
      </c>
      <c r="E13" s="20">
        <v>19.88</v>
      </c>
      <c r="F13" s="20">
        <v>-0.21</v>
      </c>
      <c r="G13" s="20">
        <v>3399.81</v>
      </c>
      <c r="H13" s="20"/>
      <c r="I13" s="20"/>
      <c r="J13" s="20"/>
      <c r="K13" s="20"/>
    </row>
    <row r="14" spans="1:11" ht="19.5" customHeight="1" x14ac:dyDescent="0.3">
      <c r="A14" s="22">
        <v>46045.616175567127</v>
      </c>
      <c r="B14" s="20">
        <v>0.8</v>
      </c>
      <c r="C14" s="20">
        <v>50</v>
      </c>
      <c r="D14" s="20">
        <v>30.33</v>
      </c>
      <c r="E14" s="20">
        <v>19.670000000000002</v>
      </c>
      <c r="F14" s="20">
        <v>-0.21</v>
      </c>
      <c r="G14" s="20">
        <v>3397.78</v>
      </c>
      <c r="H14" s="20"/>
      <c r="I14" s="20"/>
      <c r="J14" s="20"/>
      <c r="K14" s="20"/>
    </row>
    <row r="15" spans="1:11" ht="19.5" customHeight="1" x14ac:dyDescent="0.3">
      <c r="A15" s="22">
        <v>46045.616176724536</v>
      </c>
      <c r="B15" s="20">
        <v>0.9</v>
      </c>
      <c r="C15" s="20">
        <v>50</v>
      </c>
      <c r="D15" s="20">
        <v>30.63</v>
      </c>
      <c r="E15" s="20">
        <v>19.37</v>
      </c>
      <c r="F15" s="20">
        <v>-0.28999999999999998</v>
      </c>
      <c r="G15" s="20">
        <v>3377.12</v>
      </c>
      <c r="H15" s="20"/>
      <c r="I15" s="20"/>
      <c r="J15" s="20"/>
      <c r="K15" s="20"/>
    </row>
    <row r="16" spans="1:11" ht="19.5" customHeight="1" x14ac:dyDescent="0.3">
      <c r="A16" s="22">
        <v>46045.616177881944</v>
      </c>
      <c r="B16" s="20">
        <v>1</v>
      </c>
      <c r="C16" s="20">
        <v>50</v>
      </c>
      <c r="D16" s="20">
        <v>30.92</v>
      </c>
      <c r="E16" s="20">
        <v>19.079999999999998</v>
      </c>
      <c r="F16" s="20">
        <v>-0.3</v>
      </c>
      <c r="G16" s="20">
        <v>3376.07</v>
      </c>
      <c r="H16" s="20"/>
      <c r="I16" s="20"/>
      <c r="J16" s="20"/>
      <c r="K16" s="20"/>
    </row>
    <row r="17" spans="1:11" ht="19.5" customHeight="1" x14ac:dyDescent="0.3">
      <c r="A17" s="22">
        <v>46045.616179027777</v>
      </c>
      <c r="B17" s="20">
        <v>1.1000000000000001</v>
      </c>
      <c r="C17" s="20">
        <v>50</v>
      </c>
      <c r="D17" s="20">
        <v>31.34</v>
      </c>
      <c r="E17" s="20">
        <v>18.66</v>
      </c>
      <c r="F17" s="20">
        <v>-0.41</v>
      </c>
      <c r="G17" s="20">
        <v>3390.27</v>
      </c>
      <c r="H17" s="20"/>
      <c r="I17" s="20"/>
      <c r="J17" s="20"/>
      <c r="K17" s="20"/>
    </row>
    <row r="18" spans="1:11" ht="19.5" customHeight="1" x14ac:dyDescent="0.3">
      <c r="A18" s="22">
        <v>46045.61618020833</v>
      </c>
      <c r="B18" s="20">
        <v>1.2</v>
      </c>
      <c r="C18" s="20">
        <v>50</v>
      </c>
      <c r="D18" s="20">
        <v>31.76</v>
      </c>
      <c r="E18" s="20">
        <v>18.239999999999998</v>
      </c>
      <c r="F18" s="20">
        <v>-0.43</v>
      </c>
      <c r="G18" s="20">
        <v>3392.84</v>
      </c>
      <c r="H18" s="20"/>
      <c r="I18" s="20"/>
      <c r="J18" s="20"/>
      <c r="K18" s="20"/>
    </row>
    <row r="19" spans="1:11" ht="19.5" customHeight="1" x14ac:dyDescent="0.3">
      <c r="A19" s="22">
        <v>46045.616181400466</v>
      </c>
      <c r="B19" s="20">
        <v>1.3</v>
      </c>
      <c r="C19" s="20">
        <v>50</v>
      </c>
      <c r="D19" s="20">
        <v>32.21</v>
      </c>
      <c r="E19" s="20">
        <v>17.79</v>
      </c>
      <c r="F19" s="20">
        <v>-0.45</v>
      </c>
      <c r="G19" s="20">
        <v>3396.68</v>
      </c>
      <c r="H19" s="20"/>
      <c r="I19" s="20"/>
      <c r="J19" s="20"/>
      <c r="K19" s="20"/>
    </row>
    <row r="20" spans="1:11" ht="19.5" customHeight="1" x14ac:dyDescent="0.3">
      <c r="A20" s="22">
        <v>46045.616182546299</v>
      </c>
      <c r="B20" s="20">
        <v>1.4</v>
      </c>
      <c r="C20" s="20">
        <v>50</v>
      </c>
      <c r="D20" s="20">
        <v>32.770000000000003</v>
      </c>
      <c r="E20" s="20">
        <v>17.23</v>
      </c>
      <c r="F20" s="20">
        <v>-0.56000000000000005</v>
      </c>
      <c r="G20" s="20">
        <v>3413.7</v>
      </c>
      <c r="H20" s="20"/>
      <c r="I20" s="20"/>
      <c r="J20" s="20"/>
      <c r="K20" s="20"/>
    </row>
    <row r="21" spans="1:11" ht="19.5" customHeight="1" x14ac:dyDescent="0.3">
      <c r="A21" s="22">
        <v>46045.616183680555</v>
      </c>
      <c r="B21" s="20">
        <v>1.5</v>
      </c>
      <c r="C21" s="20">
        <v>50</v>
      </c>
      <c r="D21" s="20">
        <v>33.270000000000003</v>
      </c>
      <c r="E21" s="20">
        <v>16.73</v>
      </c>
      <c r="F21" s="20">
        <v>-0.49</v>
      </c>
      <c r="G21" s="20">
        <v>3403.03</v>
      </c>
      <c r="H21" s="20"/>
      <c r="I21" s="20"/>
      <c r="J21" s="20"/>
      <c r="K21" s="20"/>
    </row>
    <row r="22" spans="1:11" ht="19.5" customHeight="1" x14ac:dyDescent="0.3">
      <c r="A22" s="22">
        <v>46045.616184837963</v>
      </c>
      <c r="B22" s="20">
        <v>1.6</v>
      </c>
      <c r="C22" s="20">
        <v>50</v>
      </c>
      <c r="D22" s="20">
        <v>33.79</v>
      </c>
      <c r="E22" s="20">
        <v>16.21</v>
      </c>
      <c r="F22" s="20">
        <v>-0.52</v>
      </c>
      <c r="G22" s="20">
        <v>3408.07</v>
      </c>
      <c r="H22" s="20"/>
      <c r="I22" s="20"/>
      <c r="J22" s="20"/>
      <c r="K22" s="20"/>
    </row>
    <row r="23" spans="1:11" ht="19.5" customHeight="1" x14ac:dyDescent="0.3">
      <c r="A23" s="22">
        <v>46045.616185995372</v>
      </c>
      <c r="B23" s="20">
        <v>1.7</v>
      </c>
      <c r="C23" s="20">
        <v>50</v>
      </c>
      <c r="D23" s="20">
        <v>34.31</v>
      </c>
      <c r="E23" s="20">
        <v>15.69</v>
      </c>
      <c r="F23" s="20">
        <v>-0.52</v>
      </c>
      <c r="G23" s="20">
        <v>3406.8</v>
      </c>
      <c r="H23" s="20"/>
      <c r="I23" s="20"/>
      <c r="J23" s="20"/>
      <c r="K23" s="20"/>
    </row>
    <row r="24" spans="1:11" ht="19.5" customHeight="1" x14ac:dyDescent="0.3">
      <c r="A24" s="22">
        <v>46045.61618715278</v>
      </c>
      <c r="B24" s="20">
        <v>1.8</v>
      </c>
      <c r="C24" s="20">
        <v>50</v>
      </c>
      <c r="D24" s="20">
        <v>34.86</v>
      </c>
      <c r="E24" s="20">
        <v>15.14</v>
      </c>
      <c r="F24" s="20">
        <v>-0.56000000000000005</v>
      </c>
      <c r="G24" s="20">
        <v>3406.53</v>
      </c>
      <c r="H24" s="20"/>
      <c r="I24" s="20"/>
      <c r="J24" s="20"/>
      <c r="K24" s="20"/>
    </row>
    <row r="25" spans="1:11" ht="19.5" customHeight="1" x14ac:dyDescent="0.3">
      <c r="A25" s="22">
        <v>46045.616188321757</v>
      </c>
      <c r="B25" s="20">
        <v>1.9</v>
      </c>
      <c r="C25" s="20">
        <v>50</v>
      </c>
      <c r="D25" s="20">
        <v>35.409999999999997</v>
      </c>
      <c r="E25" s="20">
        <v>14.59</v>
      </c>
      <c r="F25" s="20">
        <v>-0.54</v>
      </c>
      <c r="G25" s="20">
        <v>3397.98</v>
      </c>
      <c r="H25" s="20"/>
      <c r="I25" s="20"/>
      <c r="J25" s="20"/>
      <c r="K25" s="20"/>
    </row>
    <row r="26" spans="1:11" ht="19.5" customHeight="1" x14ac:dyDescent="0.3">
      <c r="A26" s="22">
        <v>46045.616189479166</v>
      </c>
      <c r="B26" s="20">
        <v>2</v>
      </c>
      <c r="C26" s="20">
        <v>50</v>
      </c>
      <c r="D26" s="20">
        <v>35.94</v>
      </c>
      <c r="E26" s="20">
        <v>14.06</v>
      </c>
      <c r="F26" s="20">
        <v>-0.54</v>
      </c>
      <c r="G26" s="20">
        <v>3389.46</v>
      </c>
      <c r="H26" s="20"/>
      <c r="I26" s="20"/>
      <c r="J26" s="20"/>
      <c r="K26" s="20"/>
    </row>
    <row r="27" spans="1:11" ht="19.5" customHeight="1" x14ac:dyDescent="0.3">
      <c r="A27" s="22">
        <v>46045.616190624998</v>
      </c>
      <c r="B27" s="20">
        <v>2.1</v>
      </c>
      <c r="C27" s="20">
        <v>50</v>
      </c>
      <c r="D27" s="20">
        <v>36.53</v>
      </c>
      <c r="E27" s="20">
        <v>13.47</v>
      </c>
      <c r="F27" s="20">
        <v>-0.57999999999999996</v>
      </c>
      <c r="G27" s="20">
        <v>3396.87</v>
      </c>
      <c r="H27" s="20"/>
      <c r="I27" s="20"/>
      <c r="J27" s="20"/>
      <c r="K27" s="20"/>
    </row>
    <row r="28" spans="1:11" ht="19.5" customHeight="1" x14ac:dyDescent="0.3">
      <c r="A28" s="22">
        <v>46045.616191759262</v>
      </c>
      <c r="B28" s="20">
        <v>2.2000000000000002</v>
      </c>
      <c r="C28" s="20">
        <v>50</v>
      </c>
      <c r="D28" s="20">
        <v>37.08</v>
      </c>
      <c r="E28" s="20">
        <v>12.92</v>
      </c>
      <c r="F28" s="20">
        <v>-0.55000000000000004</v>
      </c>
      <c r="G28" s="20">
        <v>3405.57</v>
      </c>
      <c r="H28" s="20"/>
      <c r="I28" s="20"/>
      <c r="J28" s="20"/>
      <c r="K28" s="20"/>
    </row>
    <row r="29" spans="1:11" ht="19.5" customHeight="1" x14ac:dyDescent="0.3">
      <c r="A29" s="22">
        <v>46045.616192939815</v>
      </c>
      <c r="B29" s="20">
        <v>2.2999999999999998</v>
      </c>
      <c r="C29" s="20">
        <v>50</v>
      </c>
      <c r="D29" s="20">
        <v>37.64</v>
      </c>
      <c r="E29" s="20">
        <v>12.36</v>
      </c>
      <c r="F29" s="20">
        <v>-0.56000000000000005</v>
      </c>
      <c r="G29" s="20">
        <v>3414.33</v>
      </c>
      <c r="H29" s="20"/>
      <c r="I29" s="20"/>
      <c r="J29" s="20"/>
      <c r="K29" s="20"/>
    </row>
    <row r="30" spans="1:11" ht="19.5" customHeight="1" x14ac:dyDescent="0.3">
      <c r="A30" s="22">
        <v>46045.616194097223</v>
      </c>
      <c r="B30" s="20">
        <v>2.4</v>
      </c>
      <c r="C30" s="20">
        <v>50</v>
      </c>
      <c r="D30" s="20">
        <v>38.21</v>
      </c>
      <c r="E30" s="20">
        <v>11.79</v>
      </c>
      <c r="F30" s="20">
        <v>-0.56999999999999995</v>
      </c>
      <c r="G30" s="20">
        <v>3414.93</v>
      </c>
      <c r="H30" s="20"/>
      <c r="I30" s="20"/>
      <c r="J30" s="20"/>
      <c r="K30" s="20"/>
    </row>
    <row r="31" spans="1:11" ht="19.5" customHeight="1" x14ac:dyDescent="0.3">
      <c r="A31" s="22">
        <v>46045.616195289353</v>
      </c>
      <c r="B31" s="20">
        <v>2.5</v>
      </c>
      <c r="C31" s="20">
        <v>50</v>
      </c>
      <c r="D31" s="20">
        <v>38.76</v>
      </c>
      <c r="E31" s="20">
        <v>11.24</v>
      </c>
      <c r="F31" s="20">
        <v>-0.55000000000000004</v>
      </c>
      <c r="G31" s="20">
        <v>3412.44</v>
      </c>
      <c r="H31" s="20"/>
      <c r="I31" s="20"/>
      <c r="J31" s="20"/>
      <c r="K31" s="20"/>
    </row>
    <row r="32" spans="1:11" ht="19.5" customHeight="1" x14ac:dyDescent="0.3">
      <c r="A32" s="22">
        <v>46045.61619641204</v>
      </c>
      <c r="B32" s="20">
        <v>2.6</v>
      </c>
      <c r="C32" s="20">
        <v>50</v>
      </c>
      <c r="D32" s="20">
        <v>39.299999999999997</v>
      </c>
      <c r="E32" s="20">
        <v>10.7</v>
      </c>
      <c r="F32" s="20">
        <v>-0.54</v>
      </c>
      <c r="G32" s="20">
        <v>3410.57</v>
      </c>
      <c r="H32" s="20"/>
      <c r="I32" s="20"/>
      <c r="J32" s="20"/>
      <c r="K32" s="20"/>
    </row>
    <row r="33" spans="1:11" ht="19.5" customHeight="1" x14ac:dyDescent="0.3">
      <c r="A33" s="22">
        <v>46045.616197581017</v>
      </c>
      <c r="B33" s="20">
        <v>2.7</v>
      </c>
      <c r="C33" s="20">
        <v>50</v>
      </c>
      <c r="D33" s="20">
        <v>39.85</v>
      </c>
      <c r="E33" s="20">
        <v>10.15</v>
      </c>
      <c r="F33" s="20">
        <v>-0.55000000000000004</v>
      </c>
      <c r="G33" s="20">
        <v>3411.81</v>
      </c>
      <c r="H33" s="20"/>
      <c r="I33" s="20"/>
      <c r="J33" s="20"/>
      <c r="K33" s="20"/>
    </row>
    <row r="34" spans="1:11" ht="19.5" customHeight="1" x14ac:dyDescent="0.3">
      <c r="A34" s="22">
        <v>46045.61619872685</v>
      </c>
      <c r="B34" s="20">
        <v>2.8</v>
      </c>
      <c r="C34" s="20">
        <v>50</v>
      </c>
      <c r="D34" s="20">
        <v>40.369999999999997</v>
      </c>
      <c r="E34" s="20">
        <v>9.6300000000000008</v>
      </c>
      <c r="F34" s="20">
        <v>-0.52</v>
      </c>
      <c r="G34" s="20">
        <v>3407.43</v>
      </c>
      <c r="H34" s="20"/>
      <c r="I34" s="20"/>
      <c r="J34" s="20"/>
      <c r="K34" s="20"/>
    </row>
    <row r="35" spans="1:11" ht="19.5" customHeight="1" x14ac:dyDescent="0.3">
      <c r="A35" s="22">
        <v>46045.616199826392</v>
      </c>
      <c r="B35" s="20">
        <v>2.9</v>
      </c>
      <c r="C35" s="20">
        <v>50</v>
      </c>
      <c r="D35" s="20">
        <v>40.96</v>
      </c>
      <c r="E35" s="20">
        <v>9.0399999999999991</v>
      </c>
      <c r="F35" s="20">
        <v>-0.59</v>
      </c>
      <c r="G35" s="20">
        <v>3418.02</v>
      </c>
      <c r="H35" s="20"/>
      <c r="I35" s="20"/>
      <c r="J35" s="20"/>
      <c r="K35" s="20"/>
    </row>
    <row r="36" spans="1:11" ht="19.5" customHeight="1" x14ac:dyDescent="0.3">
      <c r="A36" s="22">
        <v>46045.616201018522</v>
      </c>
      <c r="B36" s="20">
        <v>3</v>
      </c>
      <c r="C36" s="20">
        <v>50</v>
      </c>
      <c r="D36" s="20">
        <v>41.48</v>
      </c>
      <c r="E36" s="20">
        <v>8.52</v>
      </c>
      <c r="F36" s="20">
        <v>-0.52</v>
      </c>
      <c r="G36" s="20">
        <v>3407.44</v>
      </c>
      <c r="H36" s="20"/>
      <c r="I36" s="20"/>
      <c r="J36" s="20"/>
      <c r="K36" s="20"/>
    </row>
    <row r="37" spans="1:11" ht="19.5" customHeight="1" x14ac:dyDescent="0.3">
      <c r="A37" s="22">
        <v>46045.616202199075</v>
      </c>
      <c r="B37" s="20">
        <v>3.1</v>
      </c>
      <c r="C37" s="20">
        <v>50</v>
      </c>
      <c r="D37" s="20">
        <v>42.02</v>
      </c>
      <c r="E37" s="20">
        <v>7.98</v>
      </c>
      <c r="F37" s="20">
        <v>-0.54</v>
      </c>
      <c r="G37" s="20">
        <v>3411.21</v>
      </c>
      <c r="H37" s="20"/>
      <c r="I37" s="20"/>
      <c r="J37" s="20"/>
      <c r="K37" s="20"/>
    </row>
    <row r="38" spans="1:11" ht="19.5" customHeight="1" x14ac:dyDescent="0.3">
      <c r="A38" s="22">
        <v>46045.616203356483</v>
      </c>
      <c r="B38" s="20">
        <v>3.2</v>
      </c>
      <c r="C38" s="20">
        <v>50</v>
      </c>
      <c r="D38" s="20">
        <v>42.55</v>
      </c>
      <c r="E38" s="20">
        <v>7.45</v>
      </c>
      <c r="F38" s="20">
        <v>-0.53</v>
      </c>
      <c r="G38" s="20">
        <v>3409.33</v>
      </c>
      <c r="H38" s="20"/>
      <c r="I38" s="20"/>
      <c r="J38" s="20"/>
      <c r="K38" s="20"/>
    </row>
    <row r="39" spans="1:11" ht="19.5" customHeight="1" x14ac:dyDescent="0.3">
      <c r="A39" s="22">
        <v>46045.616204560189</v>
      </c>
      <c r="B39" s="20">
        <v>3.3</v>
      </c>
      <c r="C39" s="20">
        <v>50</v>
      </c>
      <c r="D39" s="20">
        <v>43.07</v>
      </c>
      <c r="E39" s="20">
        <v>6.93</v>
      </c>
      <c r="F39" s="20">
        <v>-0.52</v>
      </c>
      <c r="G39" s="20">
        <v>3407.44</v>
      </c>
      <c r="H39" s="20"/>
      <c r="I39" s="20"/>
      <c r="J39" s="20"/>
      <c r="K39" s="20"/>
    </row>
    <row r="40" spans="1:11" ht="19.5" customHeight="1" x14ac:dyDescent="0.3">
      <c r="A40" s="22">
        <v>46045.616205671293</v>
      </c>
      <c r="B40" s="20">
        <v>3.4</v>
      </c>
      <c r="C40" s="20">
        <v>50</v>
      </c>
      <c r="D40" s="20">
        <v>43.62</v>
      </c>
      <c r="E40" s="20">
        <v>6.38</v>
      </c>
      <c r="F40" s="20">
        <v>-0.54</v>
      </c>
      <c r="G40" s="20">
        <v>3411.19</v>
      </c>
      <c r="H40" s="20"/>
      <c r="I40" s="20"/>
      <c r="J40" s="20"/>
      <c r="K40" s="20"/>
    </row>
    <row r="41" spans="1:11" ht="19.5" customHeight="1" x14ac:dyDescent="0.3">
      <c r="A41" s="22">
        <v>46045.616206817132</v>
      </c>
      <c r="B41" s="20">
        <v>3.5</v>
      </c>
      <c r="C41" s="20">
        <v>50</v>
      </c>
      <c r="D41" s="20">
        <v>44.12</v>
      </c>
      <c r="E41" s="20">
        <v>5.88</v>
      </c>
      <c r="F41" s="20">
        <v>-0.5</v>
      </c>
      <c r="G41" s="20">
        <v>3404.92</v>
      </c>
      <c r="H41" s="20"/>
      <c r="I41" s="20"/>
      <c r="J41" s="20"/>
      <c r="K41" s="20"/>
    </row>
    <row r="42" spans="1:11" ht="19.5" customHeight="1" x14ac:dyDescent="0.3">
      <c r="A42" s="22">
        <v>46045.616207974534</v>
      </c>
      <c r="B42" s="20">
        <v>3.6</v>
      </c>
      <c r="C42" s="20">
        <v>50</v>
      </c>
      <c r="D42" s="20">
        <v>44.62</v>
      </c>
      <c r="E42" s="20">
        <v>5.38</v>
      </c>
      <c r="F42" s="20">
        <v>-0.5</v>
      </c>
      <c r="G42" s="20">
        <v>3404.28</v>
      </c>
      <c r="H42" s="20"/>
      <c r="I42" s="20"/>
      <c r="J42" s="20"/>
      <c r="K42" s="20"/>
    </row>
    <row r="43" spans="1:11" ht="19.5" customHeight="1" x14ac:dyDescent="0.3">
      <c r="A43" s="22">
        <v>46045.616209143518</v>
      </c>
      <c r="B43" s="20">
        <v>3.7</v>
      </c>
      <c r="C43" s="20">
        <v>50</v>
      </c>
      <c r="D43" s="20">
        <v>45.12</v>
      </c>
      <c r="E43" s="20">
        <v>4.88</v>
      </c>
      <c r="F43" s="20">
        <v>-0.5</v>
      </c>
      <c r="G43" s="20">
        <v>3403.66</v>
      </c>
      <c r="H43" s="20"/>
      <c r="I43" s="20"/>
      <c r="J43" s="20"/>
      <c r="K43" s="20"/>
    </row>
    <row r="44" spans="1:11" ht="19.5" customHeight="1" x14ac:dyDescent="0.3">
      <c r="A44" s="22">
        <v>46045.616210300926</v>
      </c>
      <c r="B44" s="20">
        <v>3.8</v>
      </c>
      <c r="C44" s="20">
        <v>50</v>
      </c>
      <c r="D44" s="20">
        <v>45.62</v>
      </c>
      <c r="E44" s="20">
        <v>4.38</v>
      </c>
      <c r="F44" s="20">
        <v>-0.51</v>
      </c>
      <c r="G44" s="20">
        <v>3405.55</v>
      </c>
      <c r="H44" s="20"/>
      <c r="I44" s="20"/>
      <c r="J44" s="20"/>
      <c r="K44" s="20"/>
    </row>
    <row r="45" spans="1:11" ht="19.5" customHeight="1" x14ac:dyDescent="0.3">
      <c r="A45" s="22">
        <v>46045.616211446759</v>
      </c>
      <c r="B45" s="20">
        <v>3.9</v>
      </c>
      <c r="C45" s="20">
        <v>50</v>
      </c>
      <c r="D45" s="20">
        <v>46.11</v>
      </c>
      <c r="E45" s="20">
        <v>3.89</v>
      </c>
      <c r="F45" s="20">
        <v>-0.48</v>
      </c>
      <c r="G45" s="20">
        <v>3401.77</v>
      </c>
      <c r="H45" s="20"/>
      <c r="I45" s="20"/>
      <c r="J45" s="20"/>
      <c r="K45" s="20"/>
    </row>
    <row r="46" spans="1:11" ht="19.5" customHeight="1" x14ac:dyDescent="0.3">
      <c r="A46" s="22">
        <v>46045.616212627312</v>
      </c>
      <c r="B46" s="20">
        <v>4</v>
      </c>
      <c r="C46" s="20">
        <v>50</v>
      </c>
      <c r="D46" s="20">
        <v>46.64</v>
      </c>
      <c r="E46" s="20">
        <v>3.36</v>
      </c>
      <c r="F46" s="20">
        <v>-0.54</v>
      </c>
      <c r="G46" s="20">
        <v>3409.96</v>
      </c>
      <c r="H46" s="20"/>
      <c r="I46" s="20"/>
      <c r="J46" s="20"/>
      <c r="K46" s="20"/>
    </row>
    <row r="47" spans="1:11" ht="19.5" customHeight="1" x14ac:dyDescent="0.3">
      <c r="A47" s="22">
        <v>46045.616213773152</v>
      </c>
      <c r="B47" s="20">
        <v>4.0999999999999996</v>
      </c>
      <c r="C47" s="20">
        <v>50</v>
      </c>
      <c r="D47" s="20">
        <v>47.16</v>
      </c>
      <c r="E47" s="20">
        <v>2.84</v>
      </c>
      <c r="F47" s="20">
        <v>-0.52</v>
      </c>
      <c r="G47" s="20">
        <v>3240.89</v>
      </c>
      <c r="H47" s="20"/>
      <c r="I47" s="20"/>
      <c r="J47" s="20"/>
      <c r="K47" s="20"/>
    </row>
    <row r="48" spans="1:11" ht="19.5" customHeight="1" x14ac:dyDescent="0.3">
      <c r="A48" s="22">
        <v>46045.616214942129</v>
      </c>
      <c r="B48" s="20">
        <v>4.2</v>
      </c>
      <c r="C48" s="20">
        <v>50</v>
      </c>
      <c r="D48" s="20">
        <v>47.65</v>
      </c>
      <c r="E48" s="20">
        <v>2.35</v>
      </c>
      <c r="F48" s="20">
        <v>-0.49</v>
      </c>
      <c r="G48" s="20">
        <v>2912.3</v>
      </c>
      <c r="H48" s="20"/>
      <c r="I48" s="20"/>
      <c r="J48" s="20"/>
      <c r="K48" s="20"/>
    </row>
    <row r="49" spans="1:11" ht="19.5" customHeight="1" x14ac:dyDescent="0.3">
      <c r="A49" s="22">
        <v>46045.616216087961</v>
      </c>
      <c r="B49" s="20">
        <v>4.3</v>
      </c>
      <c r="C49" s="20">
        <v>50</v>
      </c>
      <c r="D49" s="20">
        <v>47.96</v>
      </c>
      <c r="E49" s="20">
        <v>2.04</v>
      </c>
      <c r="F49" s="20">
        <v>-0.31</v>
      </c>
      <c r="G49" s="20">
        <v>2780.78</v>
      </c>
      <c r="H49" s="20"/>
      <c r="I49" s="20"/>
      <c r="J49" s="20"/>
      <c r="K49" s="20"/>
    </row>
    <row r="50" spans="1:11" ht="19.5" customHeight="1" x14ac:dyDescent="0.3">
      <c r="A50" s="22">
        <v>46045.61621724537</v>
      </c>
      <c r="B50" s="20">
        <v>4.4000000000000004</v>
      </c>
      <c r="C50" s="20">
        <v>50</v>
      </c>
      <c r="D50" s="20">
        <v>48.44</v>
      </c>
      <c r="E50" s="20">
        <v>1.56</v>
      </c>
      <c r="F50" s="20">
        <v>-0.48</v>
      </c>
      <c r="G50" s="20">
        <v>2007.04</v>
      </c>
      <c r="H50" s="20"/>
      <c r="I50" s="20"/>
      <c r="J50" s="20"/>
      <c r="K50" s="20"/>
    </row>
    <row r="51" spans="1:11" ht="19.5" customHeight="1" x14ac:dyDescent="0.3">
      <c r="A51" s="22">
        <v>46045.616218414354</v>
      </c>
      <c r="B51" s="20">
        <v>4.5</v>
      </c>
      <c r="C51" s="20">
        <v>50</v>
      </c>
      <c r="D51" s="20">
        <v>48.91</v>
      </c>
      <c r="E51" s="20">
        <v>1.0900000000000001</v>
      </c>
      <c r="F51" s="20">
        <v>-0.48</v>
      </c>
      <c r="G51" s="20">
        <v>1800</v>
      </c>
      <c r="H51" s="20"/>
      <c r="I51" s="20"/>
      <c r="J51" s="20"/>
      <c r="K51" s="20"/>
    </row>
    <row r="52" spans="1:11" ht="19.5" customHeight="1" x14ac:dyDescent="0.3">
      <c r="A52" s="22">
        <v>46045.616219618052</v>
      </c>
      <c r="B52" s="20">
        <v>4.5999999999999996</v>
      </c>
      <c r="C52" s="20">
        <v>50</v>
      </c>
      <c r="D52" s="20">
        <v>49.33</v>
      </c>
      <c r="E52" s="20">
        <v>0.67</v>
      </c>
      <c r="F52" s="20">
        <v>-0.42</v>
      </c>
      <c r="G52" s="20">
        <v>1630.34</v>
      </c>
      <c r="H52" s="20"/>
      <c r="I52" s="20"/>
      <c r="J52" s="20"/>
      <c r="K52" s="20"/>
    </row>
    <row r="53" spans="1:11" ht="19.5" customHeight="1" x14ac:dyDescent="0.3">
      <c r="A53" s="22">
        <v>46045.616220717595</v>
      </c>
      <c r="B53" s="20">
        <v>4.7</v>
      </c>
      <c r="C53" s="20">
        <v>50</v>
      </c>
      <c r="D53" s="20">
        <v>49.76</v>
      </c>
      <c r="E53" s="20">
        <v>0.24</v>
      </c>
      <c r="F53" s="20">
        <v>-0.43</v>
      </c>
      <c r="G53" s="20">
        <v>1318.31</v>
      </c>
      <c r="H53" s="20"/>
      <c r="I53" s="20"/>
      <c r="J53" s="20"/>
      <c r="K53" s="20"/>
    </row>
    <row r="54" spans="1:11" ht="19.5" customHeight="1" x14ac:dyDescent="0.3">
      <c r="A54" s="22">
        <v>46045.61622181713</v>
      </c>
      <c r="B54" s="20">
        <v>4.8</v>
      </c>
      <c r="C54" s="20">
        <v>50</v>
      </c>
      <c r="D54" s="20">
        <v>50.16</v>
      </c>
      <c r="E54" s="20">
        <v>-0.16</v>
      </c>
      <c r="F54" s="20">
        <v>-0.4</v>
      </c>
      <c r="G54" s="20">
        <v>1050.26</v>
      </c>
      <c r="H54" s="20"/>
      <c r="I54" s="20"/>
      <c r="J54" s="20"/>
      <c r="K54" s="20"/>
    </row>
    <row r="55" spans="1:11" ht="19.5" customHeight="1" x14ac:dyDescent="0.3">
      <c r="A55" s="22">
        <v>46045.616223032404</v>
      </c>
      <c r="B55" s="20">
        <v>4.9000000000000004</v>
      </c>
      <c r="C55" s="20">
        <v>50</v>
      </c>
      <c r="D55" s="20">
        <v>50.54</v>
      </c>
      <c r="E55" s="20">
        <v>-0.54</v>
      </c>
      <c r="F55" s="20">
        <v>-0.37</v>
      </c>
      <c r="G55" s="20">
        <v>930.33</v>
      </c>
      <c r="H55" s="20"/>
      <c r="I55" s="20"/>
      <c r="J55" s="20"/>
      <c r="K55" s="20"/>
    </row>
    <row r="56" spans="1:11" ht="19.5" customHeight="1" x14ac:dyDescent="0.3">
      <c r="A56" s="22">
        <v>46045.616224189813</v>
      </c>
      <c r="B56" s="20">
        <v>5</v>
      </c>
      <c r="C56" s="20">
        <v>50</v>
      </c>
      <c r="D56" s="20">
        <v>50.92</v>
      </c>
      <c r="E56" s="20">
        <v>-0.92</v>
      </c>
      <c r="F56" s="20">
        <v>-0.38</v>
      </c>
      <c r="G56" s="20">
        <v>59.98</v>
      </c>
      <c r="H56" s="20"/>
      <c r="I56" s="20"/>
      <c r="J56" s="20"/>
      <c r="K56" s="20"/>
    </row>
    <row r="57" spans="1:11" ht="19.5" customHeight="1" x14ac:dyDescent="0.3">
      <c r="A57" s="22">
        <v>46045.616225289348</v>
      </c>
      <c r="B57" s="20">
        <v>5.0999999999999996</v>
      </c>
      <c r="C57" s="20">
        <v>50</v>
      </c>
      <c r="D57" s="20">
        <v>51.16</v>
      </c>
      <c r="E57" s="20">
        <v>-1.1599999999999999</v>
      </c>
      <c r="F57" s="20">
        <v>-0.24</v>
      </c>
      <c r="G57" s="20">
        <v>58.93</v>
      </c>
      <c r="H57" s="20"/>
      <c r="I57" s="20"/>
      <c r="J57" s="20"/>
      <c r="K57" s="20"/>
    </row>
    <row r="58" spans="1:11" ht="19.5" customHeight="1" x14ac:dyDescent="0.3">
      <c r="A58" s="22">
        <v>46045.61622650463</v>
      </c>
      <c r="B58" s="20">
        <v>5.2</v>
      </c>
      <c r="C58" s="20">
        <v>50</v>
      </c>
      <c r="D58" s="20">
        <v>51.45</v>
      </c>
      <c r="E58" s="20">
        <v>-1.45</v>
      </c>
      <c r="F58" s="20">
        <v>-0.28999999999999998</v>
      </c>
      <c r="G58" s="20">
        <v>61.69</v>
      </c>
      <c r="H58" s="20"/>
      <c r="I58" s="20"/>
      <c r="J58" s="20"/>
      <c r="K58" s="20"/>
    </row>
    <row r="59" spans="1:11" ht="19.5" customHeight="1" x14ac:dyDescent="0.3">
      <c r="A59" s="22">
        <v>46045.616227662038</v>
      </c>
      <c r="B59" s="20">
        <v>5.3</v>
      </c>
      <c r="C59" s="20">
        <v>50</v>
      </c>
      <c r="D59" s="20">
        <v>51.63</v>
      </c>
      <c r="E59" s="20">
        <v>-1.63</v>
      </c>
      <c r="F59" s="20">
        <v>-0.18</v>
      </c>
      <c r="G59" s="20">
        <v>55.73</v>
      </c>
      <c r="H59" s="20"/>
      <c r="I59" s="20"/>
      <c r="J59" s="20"/>
      <c r="K59" s="20"/>
    </row>
    <row r="60" spans="1:11" ht="19.5" customHeight="1" x14ac:dyDescent="0.3">
      <c r="A60" s="22">
        <v>46045.616228831015</v>
      </c>
      <c r="B60" s="20">
        <v>5.4</v>
      </c>
      <c r="C60" s="20">
        <v>50</v>
      </c>
      <c r="D60" s="20">
        <v>51.82</v>
      </c>
      <c r="E60" s="20">
        <v>-1.82</v>
      </c>
      <c r="F60" s="20">
        <v>-0.19</v>
      </c>
      <c r="G60" s="20">
        <v>56.47</v>
      </c>
      <c r="H60" s="20"/>
      <c r="I60" s="20"/>
      <c r="J60" s="20"/>
      <c r="K60" s="20"/>
    </row>
    <row r="61" spans="1:11" ht="19.5" customHeight="1" x14ac:dyDescent="0.3">
      <c r="A61" s="22">
        <v>46045.616229976855</v>
      </c>
      <c r="B61" s="20">
        <v>5.5</v>
      </c>
      <c r="C61" s="20">
        <v>50</v>
      </c>
      <c r="D61" s="20">
        <v>51.88</v>
      </c>
      <c r="E61" s="20">
        <v>-1.88</v>
      </c>
      <c r="F61" s="20">
        <v>-0.06</v>
      </c>
      <c r="G61" s="20">
        <v>53.71</v>
      </c>
      <c r="H61" s="20"/>
      <c r="I61" s="20"/>
      <c r="J61" s="20"/>
      <c r="K61" s="20"/>
    </row>
    <row r="62" spans="1:11" ht="19.5" customHeight="1" x14ac:dyDescent="0.3">
      <c r="A62" s="22">
        <v>46045.616231134256</v>
      </c>
      <c r="B62" s="20">
        <v>5.6</v>
      </c>
      <c r="C62" s="20">
        <v>50</v>
      </c>
      <c r="D62" s="20">
        <v>52.01</v>
      </c>
      <c r="E62" s="20">
        <v>-2.0099999999999998</v>
      </c>
      <c r="F62" s="20">
        <v>-0.12</v>
      </c>
      <c r="G62" s="20">
        <v>55.35</v>
      </c>
      <c r="H62" s="20"/>
      <c r="I62" s="20"/>
      <c r="J62" s="20"/>
      <c r="K62" s="20"/>
    </row>
    <row r="63" spans="1:11" ht="19.5" customHeight="1" x14ac:dyDescent="0.3">
      <c r="A63" s="22">
        <v>46045.616232291664</v>
      </c>
      <c r="B63" s="20">
        <v>5.7</v>
      </c>
      <c r="C63" s="20">
        <v>50</v>
      </c>
      <c r="D63" s="20">
        <v>52.03</v>
      </c>
      <c r="E63" s="20">
        <v>-2.0299999999999998</v>
      </c>
      <c r="F63" s="20">
        <v>-0.02</v>
      </c>
      <c r="G63" s="20">
        <v>55.64</v>
      </c>
      <c r="H63" s="20"/>
      <c r="I63" s="20"/>
      <c r="J63" s="20"/>
      <c r="K63" s="20"/>
    </row>
    <row r="64" spans="1:11" ht="19.5" customHeight="1" x14ac:dyDescent="0.3">
      <c r="A64" s="22">
        <v>46045.616233460649</v>
      </c>
      <c r="B64" s="20">
        <v>5.8</v>
      </c>
      <c r="C64" s="20">
        <v>50</v>
      </c>
      <c r="D64" s="20">
        <v>52.03</v>
      </c>
      <c r="E64" s="20">
        <v>-2.0299999999999998</v>
      </c>
      <c r="F64" s="20">
        <v>0</v>
      </c>
      <c r="G64" s="20">
        <v>55.7</v>
      </c>
      <c r="H64" s="20"/>
      <c r="I64" s="20"/>
      <c r="J64" s="20"/>
      <c r="K64" s="20"/>
    </row>
    <row r="65" spans="1:11" ht="19.5" customHeight="1" x14ac:dyDescent="0.3">
      <c r="A65" s="22">
        <v>46045.616234606481</v>
      </c>
      <c r="B65" s="20">
        <v>5.9</v>
      </c>
      <c r="C65" s="20">
        <v>50</v>
      </c>
      <c r="D65" s="20">
        <v>51.99</v>
      </c>
      <c r="E65" s="20">
        <v>-1.99</v>
      </c>
      <c r="F65" s="20">
        <v>0.04</v>
      </c>
      <c r="G65" s="20">
        <v>55.18</v>
      </c>
      <c r="H65" s="20"/>
      <c r="I65" s="20"/>
      <c r="J65" s="20"/>
      <c r="K65" s="20"/>
    </row>
    <row r="66" spans="1:11" ht="19.5" customHeight="1" x14ac:dyDescent="0.3">
      <c r="A66" s="22">
        <v>46045.61623576389</v>
      </c>
      <c r="B66" s="20">
        <v>6</v>
      </c>
      <c r="C66" s="20">
        <v>50</v>
      </c>
      <c r="D66" s="20">
        <v>51.93</v>
      </c>
      <c r="E66" s="20">
        <v>-1.93</v>
      </c>
      <c r="F66" s="20">
        <v>7.0000000000000007E-2</v>
      </c>
      <c r="G66" s="20">
        <v>54.25</v>
      </c>
      <c r="H66" s="20"/>
      <c r="I66" s="20"/>
      <c r="J66" s="20"/>
      <c r="K66" s="20"/>
    </row>
    <row r="67" spans="1:11" ht="19.5" customHeight="1" x14ac:dyDescent="0.3">
      <c r="A67" s="22">
        <v>46045.616236921298</v>
      </c>
      <c r="B67" s="20">
        <v>6.1</v>
      </c>
      <c r="C67" s="20">
        <v>50</v>
      </c>
      <c r="D67" s="20">
        <v>51.82</v>
      </c>
      <c r="E67" s="20">
        <v>-1.82</v>
      </c>
      <c r="F67" s="20">
        <v>0.1</v>
      </c>
      <c r="G67" s="20">
        <v>53.08</v>
      </c>
      <c r="H67" s="20"/>
      <c r="I67" s="20"/>
      <c r="J67" s="20"/>
      <c r="K67" s="20"/>
    </row>
    <row r="68" spans="1:11" ht="19.5" customHeight="1" x14ac:dyDescent="0.3">
      <c r="A68" s="22">
        <v>46045.616238078706</v>
      </c>
      <c r="B68" s="20">
        <v>6.2</v>
      </c>
      <c r="C68" s="20">
        <v>50</v>
      </c>
      <c r="D68" s="20">
        <v>51.71</v>
      </c>
      <c r="E68" s="20">
        <v>-1.71</v>
      </c>
      <c r="F68" s="20">
        <v>0.11</v>
      </c>
      <c r="G68" s="20">
        <v>53.23</v>
      </c>
      <c r="H68" s="20"/>
      <c r="I68" s="20"/>
      <c r="J68" s="20"/>
      <c r="K68" s="20"/>
    </row>
    <row r="69" spans="1:11" ht="19.5" customHeight="1" x14ac:dyDescent="0.3">
      <c r="A69" s="22">
        <v>46045.616239282404</v>
      </c>
      <c r="B69" s="20">
        <v>6.3</v>
      </c>
      <c r="C69" s="20">
        <v>50</v>
      </c>
      <c r="D69" s="20">
        <v>51.57</v>
      </c>
      <c r="E69" s="20">
        <v>-1.57</v>
      </c>
      <c r="F69" s="20">
        <v>0.14000000000000001</v>
      </c>
      <c r="G69" s="20">
        <v>54.07</v>
      </c>
      <c r="H69" s="20"/>
      <c r="I69" s="20"/>
      <c r="J69" s="20"/>
      <c r="K69" s="20"/>
    </row>
    <row r="70" spans="1:11" ht="19.5" customHeight="1" x14ac:dyDescent="0.3">
      <c r="A70" s="22">
        <v>46045.616240393516</v>
      </c>
      <c r="B70" s="20">
        <v>6.4</v>
      </c>
      <c r="C70" s="20">
        <v>50</v>
      </c>
      <c r="D70" s="20">
        <v>51.49</v>
      </c>
      <c r="E70" s="20">
        <v>-1.49</v>
      </c>
      <c r="F70" s="20">
        <v>0.08</v>
      </c>
      <c r="G70" s="20">
        <v>52.31</v>
      </c>
      <c r="H70" s="20"/>
      <c r="I70" s="20"/>
      <c r="J70" s="20"/>
      <c r="K70" s="20"/>
    </row>
    <row r="71" spans="1:11" ht="19.5" customHeight="1" x14ac:dyDescent="0.3">
      <c r="A71" s="22">
        <v>46045.6162415625</v>
      </c>
      <c r="B71" s="20">
        <v>6.5</v>
      </c>
      <c r="C71" s="20">
        <v>50</v>
      </c>
      <c r="D71" s="20">
        <v>51.35</v>
      </c>
      <c r="E71" s="20">
        <v>-1.35</v>
      </c>
      <c r="F71" s="20">
        <v>0.14000000000000001</v>
      </c>
      <c r="G71" s="20">
        <v>54.22</v>
      </c>
      <c r="H71" s="20"/>
      <c r="I71" s="20"/>
      <c r="J71" s="20"/>
      <c r="K71" s="20"/>
    </row>
    <row r="72" spans="1:11" ht="19.5" customHeight="1" x14ac:dyDescent="0.3">
      <c r="A72" s="22">
        <v>46045.616242708333</v>
      </c>
      <c r="B72" s="20">
        <v>6.6</v>
      </c>
      <c r="C72" s="20">
        <v>50</v>
      </c>
      <c r="D72" s="20">
        <v>51.15</v>
      </c>
      <c r="E72" s="20">
        <v>-1.1499999999999999</v>
      </c>
      <c r="F72" s="20">
        <v>0.2</v>
      </c>
      <c r="G72" s="20">
        <v>56.86</v>
      </c>
      <c r="H72" s="20"/>
      <c r="I72" s="20"/>
      <c r="J72" s="20"/>
      <c r="K72" s="20"/>
    </row>
    <row r="73" spans="1:11" ht="19.5" customHeight="1" x14ac:dyDescent="0.3">
      <c r="A73" s="22">
        <v>46045.616243865741</v>
      </c>
      <c r="B73" s="20">
        <v>6.7</v>
      </c>
      <c r="C73" s="20">
        <v>50</v>
      </c>
      <c r="D73" s="20">
        <v>51.02</v>
      </c>
      <c r="E73" s="20">
        <v>-1.02</v>
      </c>
      <c r="F73" s="20">
        <v>0.13</v>
      </c>
      <c r="G73" s="20">
        <v>55</v>
      </c>
      <c r="H73" s="20"/>
      <c r="I73" s="20"/>
      <c r="J73" s="20"/>
      <c r="K73" s="20"/>
    </row>
    <row r="74" spans="1:11" ht="19.5" customHeight="1" x14ac:dyDescent="0.3">
      <c r="A74" s="22">
        <v>46045.616245046294</v>
      </c>
      <c r="B74" s="20">
        <v>6.8</v>
      </c>
      <c r="C74" s="20">
        <v>50</v>
      </c>
      <c r="D74" s="20">
        <v>50.92</v>
      </c>
      <c r="E74" s="20">
        <v>-0.92</v>
      </c>
      <c r="F74" s="20">
        <v>0.1</v>
      </c>
      <c r="G74" s="20">
        <v>56.44</v>
      </c>
      <c r="H74" s="20"/>
      <c r="I74" s="20"/>
      <c r="J74" s="20"/>
      <c r="K74" s="20"/>
    </row>
    <row r="75" spans="1:11" ht="19.5" customHeight="1" x14ac:dyDescent="0.3">
      <c r="A75" s="22">
        <v>46045.616246180558</v>
      </c>
      <c r="B75" s="20">
        <v>6.9</v>
      </c>
      <c r="C75" s="20">
        <v>50</v>
      </c>
      <c r="D75" s="20">
        <v>50.69</v>
      </c>
      <c r="E75" s="20">
        <v>-0.69</v>
      </c>
      <c r="F75" s="20">
        <v>0.23</v>
      </c>
      <c r="G75" s="20">
        <v>1207.08</v>
      </c>
      <c r="H75" s="20"/>
      <c r="I75" s="20"/>
      <c r="J75" s="20"/>
      <c r="K75" s="20"/>
    </row>
    <row r="76" spans="1:11" ht="19.5" customHeight="1" x14ac:dyDescent="0.3">
      <c r="A76" s="22">
        <v>46045.616247349535</v>
      </c>
      <c r="B76" s="20">
        <v>7</v>
      </c>
      <c r="C76" s="20">
        <v>50</v>
      </c>
      <c r="D76" s="20">
        <v>50.6</v>
      </c>
      <c r="E76" s="20">
        <v>-0.6</v>
      </c>
      <c r="F76" s="20">
        <v>0.09</v>
      </c>
      <c r="G76" s="20">
        <v>1170.77</v>
      </c>
      <c r="H76" s="20"/>
      <c r="I76" s="20"/>
      <c r="J76" s="20"/>
      <c r="K76" s="20"/>
    </row>
    <row r="77" spans="1:11" ht="19.5" customHeight="1" x14ac:dyDescent="0.3">
      <c r="A77" s="22">
        <v>46045.616248483799</v>
      </c>
      <c r="B77" s="20">
        <v>7.1</v>
      </c>
      <c r="C77" s="20">
        <v>50</v>
      </c>
      <c r="D77" s="20">
        <v>50.43</v>
      </c>
      <c r="E77" s="20">
        <v>-0.43</v>
      </c>
      <c r="F77" s="20">
        <v>0.17</v>
      </c>
      <c r="G77" s="20">
        <v>1276.6300000000001</v>
      </c>
      <c r="H77" s="20"/>
      <c r="I77" s="20"/>
      <c r="J77" s="20"/>
      <c r="K77" s="20"/>
    </row>
    <row r="78" spans="1:11" ht="19.5" customHeight="1" x14ac:dyDescent="0.3">
      <c r="A78" s="22">
        <v>46045.616249652776</v>
      </c>
      <c r="B78" s="20">
        <v>7.2</v>
      </c>
      <c r="C78" s="20">
        <v>50</v>
      </c>
      <c r="D78" s="20">
        <v>50.29</v>
      </c>
      <c r="E78" s="20">
        <v>-0.28999999999999998</v>
      </c>
      <c r="F78" s="20">
        <v>0.14000000000000001</v>
      </c>
      <c r="G78" s="20">
        <v>1254.72</v>
      </c>
      <c r="H78" s="20"/>
      <c r="I78" s="20"/>
      <c r="J78" s="20"/>
      <c r="K78" s="20"/>
    </row>
    <row r="79" spans="1:11" ht="19.5" customHeight="1" x14ac:dyDescent="0.3">
      <c r="A79" s="22">
        <v>46045.616250810184</v>
      </c>
      <c r="B79" s="20">
        <v>7.3</v>
      </c>
      <c r="C79" s="20">
        <v>50</v>
      </c>
      <c r="D79" s="20">
        <v>50.19</v>
      </c>
      <c r="E79" s="20">
        <v>-0.19</v>
      </c>
      <c r="F79" s="20">
        <v>0.1</v>
      </c>
      <c r="G79" s="20">
        <v>1218.98</v>
      </c>
      <c r="H79" s="20"/>
      <c r="I79" s="20"/>
      <c r="J79" s="20"/>
      <c r="K79" s="20"/>
    </row>
    <row r="80" spans="1:11" ht="19.5" customHeight="1" x14ac:dyDescent="0.3">
      <c r="A80" s="22">
        <v>46045.616251967593</v>
      </c>
      <c r="B80" s="20">
        <v>7.4</v>
      </c>
      <c r="C80" s="20">
        <v>50</v>
      </c>
      <c r="D80" s="20">
        <v>50</v>
      </c>
      <c r="E80" s="20">
        <v>0</v>
      </c>
      <c r="F80" s="20">
        <v>0.19</v>
      </c>
      <c r="G80" s="20">
        <v>1362.58</v>
      </c>
      <c r="H80" s="20"/>
      <c r="I80" s="20"/>
      <c r="J80" s="20"/>
      <c r="K80" s="20"/>
    </row>
    <row r="81" spans="1:11" ht="19.5" customHeight="1" x14ac:dyDescent="0.3">
      <c r="A81" s="22">
        <v>46045.616253125001</v>
      </c>
      <c r="B81" s="20">
        <v>7.5</v>
      </c>
      <c r="C81" s="20">
        <v>50</v>
      </c>
      <c r="D81" s="20">
        <v>49.95</v>
      </c>
      <c r="E81" s="20">
        <v>0.05</v>
      </c>
      <c r="F81" s="20">
        <v>0.05</v>
      </c>
      <c r="G81" s="20">
        <v>1191.47</v>
      </c>
      <c r="H81" s="20"/>
      <c r="I81" s="20"/>
      <c r="J81" s="20"/>
      <c r="K81" s="20"/>
    </row>
    <row r="82" spans="1:11" ht="19.5" customHeight="1" x14ac:dyDescent="0.3">
      <c r="A82" s="22">
        <v>46045.616254293978</v>
      </c>
      <c r="B82" s="20">
        <v>7.6</v>
      </c>
      <c r="C82" s="20">
        <v>50</v>
      </c>
      <c r="D82" s="20">
        <v>49.87</v>
      </c>
      <c r="E82" s="20">
        <v>0.13</v>
      </c>
      <c r="F82" s="20">
        <v>0.08</v>
      </c>
      <c r="G82" s="20">
        <v>1232.57</v>
      </c>
      <c r="H82" s="20"/>
      <c r="I82" s="20"/>
      <c r="J82" s="20"/>
      <c r="K82" s="20"/>
    </row>
    <row r="83" spans="1:11" ht="19.5" customHeight="1" x14ac:dyDescent="0.3">
      <c r="A83" s="22">
        <v>46045.616255439818</v>
      </c>
      <c r="B83" s="20">
        <v>7.7</v>
      </c>
      <c r="C83" s="20">
        <v>50</v>
      </c>
      <c r="D83" s="20">
        <v>49.83</v>
      </c>
      <c r="E83" s="20">
        <v>0.17</v>
      </c>
      <c r="F83" s="20">
        <v>0.04</v>
      </c>
      <c r="G83" s="20">
        <v>1244.74</v>
      </c>
      <c r="H83" s="20"/>
      <c r="I83" s="20"/>
      <c r="J83" s="20"/>
      <c r="K83" s="20"/>
    </row>
    <row r="84" spans="1:11" ht="19.5" customHeight="1" x14ac:dyDescent="0.3">
      <c r="A84" s="22">
        <v>46045.616256597219</v>
      </c>
      <c r="B84" s="20">
        <v>7.8</v>
      </c>
      <c r="C84" s="20">
        <v>50</v>
      </c>
      <c r="D84" s="20">
        <v>49.82</v>
      </c>
      <c r="E84" s="20">
        <v>0.18</v>
      </c>
      <c r="F84" s="20">
        <v>0.02</v>
      </c>
      <c r="G84" s="20">
        <v>1256.54</v>
      </c>
      <c r="H84" s="20"/>
      <c r="I84" s="20"/>
      <c r="J84" s="20"/>
      <c r="K84" s="20"/>
    </row>
    <row r="85" spans="1:11" ht="19.5" customHeight="1" x14ac:dyDescent="0.3">
      <c r="A85" s="22">
        <v>46045.616257766203</v>
      </c>
      <c r="B85" s="20">
        <v>7.9</v>
      </c>
      <c r="C85" s="20">
        <v>50</v>
      </c>
      <c r="D85" s="20">
        <v>49.77</v>
      </c>
      <c r="E85" s="20">
        <v>0.23</v>
      </c>
      <c r="F85" s="20">
        <v>0.05</v>
      </c>
      <c r="G85" s="20">
        <v>1293.49</v>
      </c>
      <c r="H85" s="20"/>
      <c r="I85" s="20"/>
      <c r="J85" s="20"/>
      <c r="K85" s="20"/>
    </row>
    <row r="86" spans="1:11" ht="19.5" customHeight="1" x14ac:dyDescent="0.3">
      <c r="A86" s="22">
        <v>46045.616258923612</v>
      </c>
      <c r="B86" s="20">
        <v>8</v>
      </c>
      <c r="C86" s="20">
        <v>50</v>
      </c>
      <c r="D86" s="20">
        <v>49.77</v>
      </c>
      <c r="E86" s="20">
        <v>0.23</v>
      </c>
      <c r="F86" s="20">
        <v>0</v>
      </c>
      <c r="G86" s="20">
        <v>1293.49</v>
      </c>
      <c r="H86" s="20"/>
      <c r="I86" s="20"/>
      <c r="J86" s="20"/>
      <c r="K86" s="20"/>
    </row>
    <row r="87" spans="1:11" ht="19.5" customHeight="1" x14ac:dyDescent="0.3">
      <c r="A87" s="22">
        <v>46045.616260011571</v>
      </c>
      <c r="B87" s="20">
        <v>8.1</v>
      </c>
      <c r="C87" s="20">
        <v>50</v>
      </c>
      <c r="D87" s="20">
        <v>49.76</v>
      </c>
      <c r="E87" s="20">
        <v>0.24</v>
      </c>
      <c r="F87" s="20">
        <v>0</v>
      </c>
      <c r="G87" s="20">
        <v>1296.27</v>
      </c>
      <c r="H87" s="20"/>
      <c r="I87" s="20"/>
      <c r="J87" s="20"/>
      <c r="K87" s="20"/>
    </row>
    <row r="88" spans="1:11" ht="19.5" customHeight="1" x14ac:dyDescent="0.3">
      <c r="A88" s="22">
        <v>46045.616261226853</v>
      </c>
      <c r="B88" s="20">
        <v>8.1999999999999993</v>
      </c>
      <c r="C88" s="20">
        <v>50</v>
      </c>
      <c r="D88" s="20">
        <v>49.79</v>
      </c>
      <c r="E88" s="20">
        <v>0.21</v>
      </c>
      <c r="F88" s="20">
        <v>-0.03</v>
      </c>
      <c r="G88" s="20">
        <v>1276.68</v>
      </c>
      <c r="H88" s="20"/>
      <c r="I88" s="20"/>
      <c r="J88" s="20"/>
      <c r="K88" s="20"/>
    </row>
    <row r="89" spans="1:11" ht="19.5" customHeight="1" x14ac:dyDescent="0.3">
      <c r="A89" s="22">
        <v>46045.616262384261</v>
      </c>
      <c r="B89" s="20">
        <v>8.3000000000000007</v>
      </c>
      <c r="C89" s="20">
        <v>50</v>
      </c>
      <c r="D89" s="20">
        <v>49.83</v>
      </c>
      <c r="E89" s="20">
        <v>0.17</v>
      </c>
      <c r="F89" s="20">
        <v>-0.04</v>
      </c>
      <c r="G89" s="20">
        <v>1247.72</v>
      </c>
      <c r="H89" s="20"/>
      <c r="I89" s="20"/>
      <c r="J89" s="20"/>
      <c r="K89" s="20"/>
    </row>
    <row r="90" spans="1:11" ht="19.5" customHeight="1" x14ac:dyDescent="0.3">
      <c r="A90" s="22">
        <v>46045.616263541669</v>
      </c>
      <c r="B90" s="20">
        <v>8.4</v>
      </c>
      <c r="C90" s="20">
        <v>50</v>
      </c>
      <c r="D90" s="20">
        <v>49.89</v>
      </c>
      <c r="E90" s="20">
        <v>0.11</v>
      </c>
      <c r="F90" s="20">
        <v>-0.06</v>
      </c>
      <c r="G90" s="20">
        <v>1197.82</v>
      </c>
      <c r="H90" s="20"/>
      <c r="I90" s="20"/>
      <c r="J90" s="20"/>
      <c r="K90" s="20"/>
    </row>
    <row r="91" spans="1:11" ht="19.5" customHeight="1" x14ac:dyDescent="0.3">
      <c r="A91" s="22">
        <v>46045.616264699071</v>
      </c>
      <c r="B91" s="20">
        <v>8.5</v>
      </c>
      <c r="C91" s="20">
        <v>50</v>
      </c>
      <c r="D91" s="20">
        <v>49.93</v>
      </c>
      <c r="E91" s="20">
        <v>7.0000000000000007E-2</v>
      </c>
      <c r="F91" s="20">
        <v>-0.04</v>
      </c>
      <c r="G91" s="20">
        <v>1163.42</v>
      </c>
      <c r="H91" s="20"/>
      <c r="I91" s="20"/>
      <c r="J91" s="20"/>
      <c r="K91" s="20"/>
    </row>
    <row r="92" spans="1:11" ht="19.5" customHeight="1" x14ac:dyDescent="0.3">
      <c r="A92" s="22">
        <v>46045.616265868055</v>
      </c>
      <c r="B92" s="20">
        <v>8.6</v>
      </c>
      <c r="C92" s="20">
        <v>50</v>
      </c>
      <c r="D92" s="20">
        <v>49.91</v>
      </c>
      <c r="E92" s="20">
        <v>0.09</v>
      </c>
      <c r="F92" s="20">
        <v>0.02</v>
      </c>
      <c r="G92" s="20">
        <v>1184.4100000000001</v>
      </c>
      <c r="H92" s="20"/>
      <c r="I92" s="20"/>
      <c r="J92" s="20"/>
      <c r="K92" s="20"/>
    </row>
    <row r="93" spans="1:11" ht="19.5" customHeight="1" x14ac:dyDescent="0.3">
      <c r="A93" s="22">
        <v>46045.616267013887</v>
      </c>
      <c r="B93" s="20">
        <v>8.6999999999999993</v>
      </c>
      <c r="C93" s="20">
        <v>50</v>
      </c>
      <c r="D93" s="20">
        <v>50</v>
      </c>
      <c r="E93" s="20">
        <v>0</v>
      </c>
      <c r="F93" s="20">
        <v>-0.08</v>
      </c>
      <c r="G93" s="20">
        <v>1105.18</v>
      </c>
      <c r="H93" s="20"/>
      <c r="I93" s="20"/>
      <c r="J93" s="20"/>
      <c r="K93" s="20"/>
    </row>
    <row r="94" spans="1:11" ht="19.5" customHeight="1" x14ac:dyDescent="0.3">
      <c r="A94" s="22">
        <v>46045.616268171296</v>
      </c>
      <c r="B94" s="20">
        <v>8.8000000000000007</v>
      </c>
      <c r="C94" s="20">
        <v>50</v>
      </c>
      <c r="D94" s="20">
        <v>50.03</v>
      </c>
      <c r="E94" s="20">
        <v>-0.03</v>
      </c>
      <c r="F94" s="20">
        <v>-0.03</v>
      </c>
      <c r="G94" s="20">
        <v>1093.1300000000001</v>
      </c>
      <c r="H94" s="20"/>
      <c r="I94" s="20"/>
      <c r="J94" s="20"/>
      <c r="K94" s="20"/>
    </row>
    <row r="95" spans="1:11" ht="19.5" customHeight="1" x14ac:dyDescent="0.3">
      <c r="A95" s="22">
        <v>46045.616269328704</v>
      </c>
      <c r="B95" s="20">
        <v>8.9</v>
      </c>
      <c r="C95" s="20">
        <v>50</v>
      </c>
      <c r="D95" s="20">
        <v>50.12</v>
      </c>
      <c r="E95" s="20">
        <v>-0.12</v>
      </c>
      <c r="F95" s="20">
        <v>-0.09</v>
      </c>
      <c r="G95" s="20">
        <v>1071.6300000000001</v>
      </c>
      <c r="H95" s="20"/>
      <c r="I95" s="20"/>
      <c r="J95" s="20"/>
      <c r="K95" s="20"/>
    </row>
    <row r="96" spans="1:11" ht="19.5" customHeight="1" x14ac:dyDescent="0.3">
      <c r="A96" s="22">
        <v>46045.616270486113</v>
      </c>
      <c r="B96" s="20">
        <v>9</v>
      </c>
      <c r="C96" s="20">
        <v>50</v>
      </c>
      <c r="D96" s="20">
        <v>50.14</v>
      </c>
      <c r="E96" s="20">
        <v>-0.14000000000000001</v>
      </c>
      <c r="F96" s="20">
        <v>-0.02</v>
      </c>
      <c r="G96" s="20">
        <v>1067.1400000000001</v>
      </c>
      <c r="H96" s="20"/>
      <c r="I96" s="20"/>
      <c r="J96" s="20"/>
      <c r="K96" s="20"/>
    </row>
    <row r="97" spans="1:11" ht="19.5" customHeight="1" x14ac:dyDescent="0.3">
      <c r="A97" s="22">
        <v>46045.61627165509</v>
      </c>
      <c r="B97" s="20">
        <v>9.1</v>
      </c>
      <c r="C97" s="20">
        <v>50</v>
      </c>
      <c r="D97" s="20">
        <v>50.22</v>
      </c>
      <c r="E97" s="20">
        <v>-0.22</v>
      </c>
      <c r="F97" s="20">
        <v>-0.08</v>
      </c>
      <c r="G97" s="20">
        <v>1046.7</v>
      </c>
      <c r="H97" s="20"/>
      <c r="I97" s="20"/>
      <c r="J97" s="20"/>
      <c r="K97" s="20"/>
    </row>
    <row r="98" spans="1:11" ht="19.5" customHeight="1" x14ac:dyDescent="0.3">
      <c r="A98" s="22">
        <v>46045.61627283565</v>
      </c>
      <c r="B98" s="20">
        <v>9.1999999999999993</v>
      </c>
      <c r="C98" s="20">
        <v>50</v>
      </c>
      <c r="D98" s="20">
        <v>50.2</v>
      </c>
      <c r="E98" s="20">
        <v>-0.2</v>
      </c>
      <c r="F98" s="20">
        <v>0.02</v>
      </c>
      <c r="G98" s="20">
        <v>1101.18</v>
      </c>
      <c r="H98" s="20"/>
      <c r="I98" s="20"/>
      <c r="J98" s="20"/>
      <c r="K98" s="20"/>
    </row>
    <row r="99" spans="1:11" ht="19.5" customHeight="1" x14ac:dyDescent="0.3">
      <c r="A99" s="22">
        <v>46045.616273969907</v>
      </c>
      <c r="B99" s="20">
        <v>9.3000000000000007</v>
      </c>
      <c r="C99" s="20">
        <v>50</v>
      </c>
      <c r="D99" s="20">
        <v>50.24</v>
      </c>
      <c r="E99" s="20">
        <v>-0.24</v>
      </c>
      <c r="F99" s="20">
        <v>-0.04</v>
      </c>
      <c r="G99" s="20">
        <v>1042.67</v>
      </c>
      <c r="H99" s="20"/>
      <c r="I99" s="20"/>
      <c r="J99" s="20"/>
      <c r="K99" s="20"/>
    </row>
    <row r="100" spans="1:11" ht="19.5" customHeight="1" x14ac:dyDescent="0.3">
      <c r="A100" s="22">
        <v>46045.616275127315</v>
      </c>
      <c r="B100" s="20">
        <v>9.4</v>
      </c>
      <c r="C100" s="20">
        <v>50</v>
      </c>
      <c r="D100" s="20">
        <v>50.34</v>
      </c>
      <c r="E100" s="20">
        <v>-0.34</v>
      </c>
      <c r="F100" s="20">
        <v>-0.1</v>
      </c>
      <c r="G100" s="20">
        <v>1014.92</v>
      </c>
      <c r="H100" s="20"/>
      <c r="I100" s="20"/>
      <c r="J100" s="20"/>
      <c r="K100" s="20"/>
    </row>
    <row r="101" spans="1:11" ht="19.5" customHeight="1" x14ac:dyDescent="0.3">
      <c r="A101" s="22">
        <v>46045.616276261571</v>
      </c>
      <c r="B101" s="20">
        <v>9.5</v>
      </c>
      <c r="C101" s="20">
        <v>50</v>
      </c>
      <c r="D101" s="20">
        <v>50.38</v>
      </c>
      <c r="E101" s="20">
        <v>-0.38</v>
      </c>
      <c r="F101" s="20">
        <v>-0.04</v>
      </c>
      <c r="G101" s="20">
        <v>1002.05</v>
      </c>
      <c r="H101" s="20"/>
      <c r="I101" s="20"/>
      <c r="J101" s="20"/>
      <c r="K101" s="20"/>
    </row>
    <row r="102" spans="1:11" ht="19.5" customHeight="1" x14ac:dyDescent="0.3">
      <c r="A102" s="22">
        <v>46045.616277442132</v>
      </c>
      <c r="B102" s="20">
        <v>9.6</v>
      </c>
      <c r="C102" s="20">
        <v>50</v>
      </c>
      <c r="D102" s="20">
        <v>50.39</v>
      </c>
      <c r="E102" s="20">
        <v>-0.39</v>
      </c>
      <c r="F102" s="20">
        <v>-0.01</v>
      </c>
      <c r="G102" s="20">
        <v>999.31</v>
      </c>
      <c r="H102" s="20"/>
      <c r="I102" s="20"/>
      <c r="J102" s="20"/>
      <c r="K102" s="20"/>
    </row>
    <row r="103" spans="1:11" ht="19.5" customHeight="1" x14ac:dyDescent="0.3">
      <c r="A103" s="22">
        <v>46045.61627859954</v>
      </c>
      <c r="B103" s="20">
        <v>9.6999999999999993</v>
      </c>
      <c r="C103" s="20">
        <v>50</v>
      </c>
      <c r="D103" s="20">
        <v>50.41</v>
      </c>
      <c r="E103" s="20">
        <v>-0.41</v>
      </c>
      <c r="F103" s="20">
        <v>-0.02</v>
      </c>
      <c r="G103" s="20">
        <v>992.15</v>
      </c>
      <c r="H103" s="20"/>
      <c r="I103" s="20"/>
      <c r="J103" s="20"/>
      <c r="K103" s="20"/>
    </row>
    <row r="104" spans="1:11" ht="19.5" customHeight="1" x14ac:dyDescent="0.3">
      <c r="A104" s="22">
        <v>46045.616279745373</v>
      </c>
      <c r="B104" s="20">
        <v>9.8000000000000007</v>
      </c>
      <c r="C104" s="20">
        <v>50</v>
      </c>
      <c r="D104" s="20">
        <v>50.43</v>
      </c>
      <c r="E104" s="20">
        <v>-0.43</v>
      </c>
      <c r="F104" s="20">
        <v>-0.02</v>
      </c>
      <c r="G104" s="20">
        <v>984.48</v>
      </c>
      <c r="H104" s="20"/>
      <c r="I104" s="20"/>
      <c r="J104" s="20"/>
      <c r="K104" s="20"/>
    </row>
    <row r="105" spans="1:11" ht="19.5" customHeight="1" x14ac:dyDescent="0.3">
      <c r="A105" s="22">
        <v>46045.616280902781</v>
      </c>
      <c r="B105" s="20">
        <v>9.9</v>
      </c>
      <c r="C105" s="20">
        <v>50</v>
      </c>
      <c r="D105" s="20">
        <v>50.47</v>
      </c>
      <c r="E105" s="20">
        <v>-0.47</v>
      </c>
      <c r="F105" s="20">
        <v>-0.05</v>
      </c>
      <c r="G105" s="20">
        <v>963.6</v>
      </c>
      <c r="H105" s="20"/>
      <c r="I105" s="20"/>
      <c r="J105" s="20"/>
      <c r="K105" s="20"/>
    </row>
    <row r="106" spans="1:11" ht="19.5" customHeight="1" x14ac:dyDescent="0.3">
      <c r="A106" s="22">
        <v>46045.61628209491</v>
      </c>
      <c r="B106" s="20">
        <v>10</v>
      </c>
      <c r="C106" s="20">
        <v>50</v>
      </c>
      <c r="D106" s="20">
        <v>50.5</v>
      </c>
      <c r="E106" s="20">
        <v>-0.5</v>
      </c>
      <c r="F106" s="20">
        <v>-0.02</v>
      </c>
      <c r="G106" s="20">
        <v>951.43</v>
      </c>
      <c r="H106" s="20"/>
      <c r="I106" s="20"/>
      <c r="J106" s="20"/>
      <c r="K106" s="20"/>
    </row>
    <row r="107" spans="1:11" ht="19.5" customHeight="1" x14ac:dyDescent="0.3">
      <c r="A107" s="22">
        <v>46045.616283229167</v>
      </c>
      <c r="B107" s="20">
        <v>10.1</v>
      </c>
      <c r="C107" s="20">
        <v>50</v>
      </c>
      <c r="D107" s="20">
        <v>50.49</v>
      </c>
      <c r="E107" s="20">
        <v>-0.49</v>
      </c>
      <c r="F107" s="20">
        <v>0</v>
      </c>
      <c r="G107" s="20">
        <v>966.61</v>
      </c>
      <c r="H107" s="20"/>
      <c r="I107" s="20"/>
      <c r="J107" s="20"/>
      <c r="K107" s="20"/>
    </row>
    <row r="108" spans="1:11" ht="19.5" customHeight="1" x14ac:dyDescent="0.3">
      <c r="A108" s="22">
        <v>46045.616284363423</v>
      </c>
      <c r="B108" s="20">
        <v>10.199999999999999</v>
      </c>
      <c r="C108" s="20">
        <v>50</v>
      </c>
      <c r="D108" s="20">
        <v>50.53</v>
      </c>
      <c r="E108" s="20">
        <v>-0.53</v>
      </c>
      <c r="F108" s="20">
        <v>-0.03</v>
      </c>
      <c r="G108" s="20">
        <v>935.39</v>
      </c>
      <c r="H108" s="20"/>
      <c r="I108" s="20"/>
      <c r="J108" s="20"/>
      <c r="K108" s="20"/>
    </row>
    <row r="109" spans="1:11" ht="19.5" customHeight="1" x14ac:dyDescent="0.3">
      <c r="A109" s="22">
        <v>46045.616285532407</v>
      </c>
      <c r="B109" s="20">
        <v>10.3</v>
      </c>
      <c r="C109" s="20">
        <v>50</v>
      </c>
      <c r="D109" s="20">
        <v>50.55</v>
      </c>
      <c r="E109" s="20">
        <v>-0.55000000000000004</v>
      </c>
      <c r="F109" s="20">
        <v>-0.02</v>
      </c>
      <c r="G109" s="20">
        <v>919.56</v>
      </c>
      <c r="H109" s="20"/>
      <c r="I109" s="20"/>
      <c r="J109" s="20"/>
      <c r="K109" s="20"/>
    </row>
    <row r="110" spans="1:11" ht="19.5" customHeight="1" x14ac:dyDescent="0.3">
      <c r="A110" s="22">
        <v>46045.616286689816</v>
      </c>
      <c r="B110" s="20">
        <v>10.4</v>
      </c>
      <c r="C110" s="20">
        <v>50</v>
      </c>
      <c r="D110" s="20">
        <v>50.55</v>
      </c>
      <c r="E110" s="20">
        <v>-0.55000000000000004</v>
      </c>
      <c r="F110" s="20">
        <v>0</v>
      </c>
      <c r="G110" s="20">
        <v>919.56</v>
      </c>
      <c r="H110" s="20"/>
      <c r="I110" s="20"/>
      <c r="J110" s="20"/>
      <c r="K110" s="20"/>
    </row>
    <row r="111" spans="1:11" ht="19.5" customHeight="1" x14ac:dyDescent="0.3">
      <c r="A111" s="22">
        <v>46045.616287870369</v>
      </c>
      <c r="B111" s="20">
        <v>10.5</v>
      </c>
      <c r="C111" s="20">
        <v>50</v>
      </c>
      <c r="D111" s="20">
        <v>50.52</v>
      </c>
      <c r="E111" s="20">
        <v>-0.52</v>
      </c>
      <c r="F111" s="20">
        <v>0.03</v>
      </c>
      <c r="G111" s="20">
        <v>1027.43</v>
      </c>
      <c r="H111" s="20"/>
      <c r="I111" s="20"/>
      <c r="J111" s="20"/>
      <c r="K111" s="20"/>
    </row>
    <row r="112" spans="1:11" ht="19.5" customHeight="1" x14ac:dyDescent="0.3">
      <c r="A112" s="22">
        <v>46045.616289004633</v>
      </c>
      <c r="B112" s="20">
        <v>10.6</v>
      </c>
      <c r="C112" s="20">
        <v>50</v>
      </c>
      <c r="D112" s="20">
        <v>50.56</v>
      </c>
      <c r="E112" s="20">
        <v>-0.56000000000000005</v>
      </c>
      <c r="F112" s="20">
        <v>-0.03</v>
      </c>
      <c r="G112" s="20">
        <v>916.69</v>
      </c>
      <c r="H112" s="20"/>
      <c r="I112" s="20"/>
      <c r="J112" s="20"/>
      <c r="K112" s="20"/>
    </row>
    <row r="113" spans="1:11" ht="19.5" customHeight="1" x14ac:dyDescent="0.3">
      <c r="A113" s="22">
        <v>46045.61629017361</v>
      </c>
      <c r="B113" s="20">
        <v>10.7</v>
      </c>
      <c r="C113" s="20">
        <v>50</v>
      </c>
      <c r="D113" s="20">
        <v>50.54</v>
      </c>
      <c r="E113" s="20">
        <v>-0.54</v>
      </c>
      <c r="F113" s="20">
        <v>0.01</v>
      </c>
      <c r="G113" s="20">
        <v>968.3</v>
      </c>
      <c r="H113" s="20"/>
      <c r="I113" s="20"/>
      <c r="J113" s="20"/>
      <c r="K113" s="20"/>
    </row>
    <row r="114" spans="1:11" ht="19.5" customHeight="1" x14ac:dyDescent="0.3">
      <c r="A114" s="22">
        <v>46045.61629135417</v>
      </c>
      <c r="B114" s="20">
        <v>10.8</v>
      </c>
      <c r="C114" s="20">
        <v>50</v>
      </c>
      <c r="D114" s="20">
        <v>50.56</v>
      </c>
      <c r="E114" s="20">
        <v>-0.56000000000000005</v>
      </c>
      <c r="F114" s="20">
        <v>-0.02</v>
      </c>
      <c r="G114" s="20">
        <v>913.78</v>
      </c>
      <c r="H114" s="20"/>
      <c r="I114" s="20"/>
      <c r="J114" s="20"/>
      <c r="K114" s="20"/>
    </row>
    <row r="115" spans="1:11" ht="19.5" customHeight="1" x14ac:dyDescent="0.3">
      <c r="A115" s="22">
        <v>46045.616292488427</v>
      </c>
      <c r="B115" s="20">
        <v>10.9</v>
      </c>
      <c r="C115" s="20">
        <v>50</v>
      </c>
      <c r="D115" s="20">
        <v>50.54</v>
      </c>
      <c r="E115" s="20">
        <v>-0.54</v>
      </c>
      <c r="F115" s="20">
        <v>0.02</v>
      </c>
      <c r="G115" s="20">
        <v>1010.86</v>
      </c>
      <c r="H115" s="20"/>
      <c r="I115" s="20"/>
      <c r="J115" s="20"/>
      <c r="K115" s="20"/>
    </row>
    <row r="116" spans="1:11" ht="19.5" customHeight="1" x14ac:dyDescent="0.3">
      <c r="A116" s="22">
        <v>46045.616293657411</v>
      </c>
      <c r="B116" s="20">
        <v>11</v>
      </c>
      <c r="C116" s="20">
        <v>50</v>
      </c>
      <c r="D116" s="20">
        <v>50.58</v>
      </c>
      <c r="E116" s="20">
        <v>-0.57999999999999996</v>
      </c>
      <c r="F116" s="20">
        <v>-0.04</v>
      </c>
      <c r="G116" s="20">
        <v>897.93</v>
      </c>
      <c r="H116" s="20"/>
      <c r="I116" s="20"/>
      <c r="J116" s="20"/>
      <c r="K116" s="20"/>
    </row>
    <row r="117" spans="1:11" ht="19.5" customHeight="1" x14ac:dyDescent="0.3">
      <c r="A117" s="22">
        <v>46045.616294791667</v>
      </c>
      <c r="B117" s="20">
        <v>11.1</v>
      </c>
      <c r="C117" s="20">
        <v>50</v>
      </c>
      <c r="D117" s="20">
        <v>50.56</v>
      </c>
      <c r="E117" s="20">
        <v>-0.56000000000000005</v>
      </c>
      <c r="F117" s="20">
        <v>0.02</v>
      </c>
      <c r="G117" s="20">
        <v>971.06</v>
      </c>
      <c r="H117" s="20"/>
      <c r="I117" s="20"/>
      <c r="J117" s="20"/>
      <c r="K117" s="20"/>
    </row>
    <row r="118" spans="1:11" ht="19.5" customHeight="1" x14ac:dyDescent="0.3">
      <c r="A118" s="22">
        <v>46045.616295960652</v>
      </c>
      <c r="B118" s="20">
        <v>11.2</v>
      </c>
      <c r="C118" s="20">
        <v>50</v>
      </c>
      <c r="D118" s="20">
        <v>50.53</v>
      </c>
      <c r="E118" s="20">
        <v>-0.53</v>
      </c>
      <c r="F118" s="20">
        <v>0.04</v>
      </c>
      <c r="G118" s="20">
        <v>1048.47</v>
      </c>
      <c r="H118" s="20"/>
      <c r="I118" s="20"/>
      <c r="J118" s="20"/>
      <c r="K118" s="20"/>
    </row>
    <row r="119" spans="1:11" ht="19.5" customHeight="1" x14ac:dyDescent="0.3">
      <c r="A119" s="22">
        <v>46045.616297118053</v>
      </c>
      <c r="B119" s="20">
        <v>11.3</v>
      </c>
      <c r="C119" s="20">
        <v>50</v>
      </c>
      <c r="D119" s="20">
        <v>50.54</v>
      </c>
      <c r="E119" s="20">
        <v>-0.54</v>
      </c>
      <c r="F119" s="20">
        <v>-0.02</v>
      </c>
      <c r="G119" s="20">
        <v>925.05</v>
      </c>
      <c r="H119" s="20"/>
      <c r="I119" s="20"/>
      <c r="J119" s="20"/>
      <c r="K119" s="20"/>
    </row>
    <row r="120" spans="1:11" ht="19.5" customHeight="1" x14ac:dyDescent="0.3">
      <c r="A120" s="22">
        <v>46045.616298275461</v>
      </c>
      <c r="B120" s="20">
        <v>11.4</v>
      </c>
      <c r="C120" s="20">
        <v>50</v>
      </c>
      <c r="D120" s="20">
        <v>50.53</v>
      </c>
      <c r="E120" s="20">
        <v>-0.53</v>
      </c>
      <c r="F120" s="20">
        <v>0.01</v>
      </c>
      <c r="G120" s="20">
        <v>974.63</v>
      </c>
      <c r="H120" s="20"/>
      <c r="I120" s="20"/>
      <c r="J120" s="20"/>
      <c r="K120" s="20"/>
    </row>
    <row r="121" spans="1:11" ht="19.5" customHeight="1" x14ac:dyDescent="0.3">
      <c r="A121" s="22">
        <v>46045.616299444446</v>
      </c>
      <c r="B121" s="20">
        <v>11.5</v>
      </c>
      <c r="C121" s="20">
        <v>50</v>
      </c>
      <c r="D121" s="20">
        <v>50.5</v>
      </c>
      <c r="E121" s="20">
        <v>-0.5</v>
      </c>
      <c r="F121" s="20">
        <v>0.03</v>
      </c>
      <c r="G121" s="20">
        <v>1046.57</v>
      </c>
      <c r="H121" s="20"/>
      <c r="I121" s="20"/>
      <c r="J121" s="20"/>
      <c r="K121" s="20"/>
    </row>
    <row r="122" spans="1:11" ht="19.5" customHeight="1" x14ac:dyDescent="0.3">
      <c r="A122" s="22">
        <v>46045.616300601854</v>
      </c>
      <c r="B122" s="20">
        <v>11.6</v>
      </c>
      <c r="C122" s="20">
        <v>50</v>
      </c>
      <c r="D122" s="20">
        <v>50.49</v>
      </c>
      <c r="E122" s="20">
        <v>-0.49</v>
      </c>
      <c r="F122" s="20">
        <v>0.01</v>
      </c>
      <c r="G122" s="20">
        <v>981.1</v>
      </c>
      <c r="H122" s="20"/>
      <c r="I122" s="20"/>
      <c r="J122" s="20"/>
      <c r="K122" s="20"/>
    </row>
    <row r="123" spans="1:11" ht="19.5" customHeight="1" x14ac:dyDescent="0.3">
      <c r="A123" s="22">
        <v>46045.616301747687</v>
      </c>
      <c r="B123" s="20">
        <v>11.7</v>
      </c>
      <c r="C123" s="20">
        <v>50</v>
      </c>
      <c r="D123" s="20">
        <v>50.46</v>
      </c>
      <c r="E123" s="20">
        <v>-0.46</v>
      </c>
      <c r="F123" s="20">
        <v>0.03</v>
      </c>
      <c r="G123" s="20">
        <v>1058.26</v>
      </c>
      <c r="H123" s="20"/>
      <c r="I123" s="20"/>
      <c r="J123" s="20"/>
      <c r="K123" s="20"/>
    </row>
    <row r="124" spans="1:11" ht="19.5" customHeight="1" x14ac:dyDescent="0.3">
      <c r="A124" s="22">
        <v>46045.616302905095</v>
      </c>
      <c r="B124" s="20">
        <v>11.8</v>
      </c>
      <c r="C124" s="20">
        <v>50</v>
      </c>
      <c r="D124" s="20">
        <v>50.52</v>
      </c>
      <c r="E124" s="20">
        <v>-0.52</v>
      </c>
      <c r="F124" s="20">
        <v>-0.06</v>
      </c>
      <c r="G124" s="20">
        <v>940.22</v>
      </c>
      <c r="H124" s="20"/>
      <c r="I124" s="20"/>
      <c r="J124" s="20"/>
      <c r="K124" s="20"/>
    </row>
    <row r="125" spans="1:11" ht="19.5" customHeight="1" x14ac:dyDescent="0.3">
      <c r="A125" s="22">
        <v>46045.616303993054</v>
      </c>
      <c r="B125" s="20">
        <v>11.9</v>
      </c>
      <c r="C125" s="20">
        <v>50</v>
      </c>
      <c r="D125" s="20">
        <v>50.52</v>
      </c>
      <c r="E125" s="20">
        <v>-0.52</v>
      </c>
      <c r="F125" s="20">
        <v>0</v>
      </c>
      <c r="G125" s="20">
        <v>940.22</v>
      </c>
      <c r="H125" s="20"/>
      <c r="I125" s="20"/>
      <c r="J125" s="20"/>
      <c r="K125" s="20"/>
    </row>
    <row r="126" spans="1:11" ht="19.5" customHeight="1" x14ac:dyDescent="0.3">
      <c r="A126" s="22">
        <v>46045.616305219904</v>
      </c>
      <c r="B126" s="20">
        <v>12</v>
      </c>
      <c r="C126" s="20">
        <v>50</v>
      </c>
      <c r="D126" s="20">
        <v>50.49</v>
      </c>
      <c r="E126" s="20">
        <v>-0.49</v>
      </c>
      <c r="F126" s="20">
        <v>0.02</v>
      </c>
      <c r="G126" s="20">
        <v>1026.27</v>
      </c>
      <c r="H126" s="20"/>
      <c r="I126" s="20"/>
      <c r="J126" s="20"/>
      <c r="K126" s="20"/>
    </row>
    <row r="127" spans="1:11" ht="19.5" customHeight="1" x14ac:dyDescent="0.3">
      <c r="A127" s="22">
        <v>46045.616306307871</v>
      </c>
      <c r="B127" s="20">
        <v>12.1</v>
      </c>
      <c r="C127" s="20">
        <v>50</v>
      </c>
      <c r="D127" s="20">
        <v>50.48</v>
      </c>
      <c r="E127" s="20">
        <v>-0.48</v>
      </c>
      <c r="F127" s="20">
        <v>0.02</v>
      </c>
      <c r="G127" s="20">
        <v>1009.79</v>
      </c>
      <c r="H127" s="20"/>
      <c r="I127" s="20"/>
      <c r="J127" s="20"/>
      <c r="K127" s="20"/>
    </row>
    <row r="128" spans="1:11" ht="19.5" customHeight="1" x14ac:dyDescent="0.3">
      <c r="A128" s="22">
        <v>46045.616307546297</v>
      </c>
      <c r="B128" s="20">
        <v>12.2</v>
      </c>
      <c r="C128" s="20">
        <v>50</v>
      </c>
      <c r="D128" s="20">
        <v>50.49</v>
      </c>
      <c r="E128" s="20">
        <v>-0.49</v>
      </c>
      <c r="F128" s="20">
        <v>-0.02</v>
      </c>
      <c r="G128" s="20">
        <v>953.56</v>
      </c>
      <c r="H128" s="20"/>
      <c r="I128" s="20"/>
      <c r="J128" s="20"/>
      <c r="K128" s="20"/>
    </row>
    <row r="129" spans="1:11" ht="19.5" customHeight="1" x14ac:dyDescent="0.3">
      <c r="A129" s="22">
        <v>46045.616308703706</v>
      </c>
      <c r="B129" s="20">
        <v>12.3</v>
      </c>
      <c r="C129" s="20">
        <v>50</v>
      </c>
      <c r="D129" s="20">
        <v>50.52</v>
      </c>
      <c r="E129" s="20">
        <v>-0.52</v>
      </c>
      <c r="F129" s="20">
        <v>-0.02</v>
      </c>
      <c r="G129" s="20">
        <v>942.55</v>
      </c>
      <c r="H129" s="20"/>
      <c r="I129" s="20"/>
      <c r="J129" s="20"/>
      <c r="K129" s="20"/>
    </row>
    <row r="130" spans="1:11" ht="19.5" customHeight="1" x14ac:dyDescent="0.3">
      <c r="A130" s="22">
        <v>46045.616309884259</v>
      </c>
      <c r="B130" s="20">
        <v>12.4</v>
      </c>
      <c r="C130" s="20">
        <v>50</v>
      </c>
      <c r="D130" s="20">
        <v>50.49</v>
      </c>
      <c r="E130" s="20">
        <v>-0.49</v>
      </c>
      <c r="F130" s="20">
        <v>0.02</v>
      </c>
      <c r="G130" s="20">
        <v>1015.07</v>
      </c>
      <c r="H130" s="20"/>
      <c r="I130" s="20"/>
      <c r="J130" s="20"/>
      <c r="K130" s="20"/>
    </row>
    <row r="131" spans="1:11" ht="19.5" customHeight="1" x14ac:dyDescent="0.3">
      <c r="A131" s="22">
        <v>46045.616311006946</v>
      </c>
      <c r="B131" s="20">
        <v>12.5</v>
      </c>
      <c r="C131" s="20">
        <v>50</v>
      </c>
      <c r="D131" s="20">
        <v>50.49</v>
      </c>
      <c r="E131" s="20">
        <v>-0.49</v>
      </c>
      <c r="F131" s="20">
        <v>0.01</v>
      </c>
      <c r="G131" s="20">
        <v>982.94</v>
      </c>
      <c r="H131" s="20"/>
      <c r="I131" s="20"/>
      <c r="J131" s="20"/>
      <c r="K131" s="20"/>
    </row>
    <row r="132" spans="1:11" ht="19.5" customHeight="1" x14ac:dyDescent="0.3">
      <c r="A132" s="22">
        <v>46045.616312210645</v>
      </c>
      <c r="B132" s="20">
        <v>12.6</v>
      </c>
      <c r="C132" s="20">
        <v>50</v>
      </c>
      <c r="D132" s="20">
        <v>50.46</v>
      </c>
      <c r="E132" s="20">
        <v>-0.46</v>
      </c>
      <c r="F132" s="20">
        <v>0.03</v>
      </c>
      <c r="G132" s="20">
        <v>1048.3599999999999</v>
      </c>
      <c r="H132" s="20"/>
      <c r="I132" s="20"/>
      <c r="J132" s="20"/>
      <c r="K132" s="20"/>
    </row>
    <row r="133" spans="1:11" ht="19.5" customHeight="1" x14ac:dyDescent="0.3">
      <c r="A133" s="22">
        <v>46045.616313321756</v>
      </c>
      <c r="B133" s="20">
        <v>12.7</v>
      </c>
      <c r="C133" s="20">
        <v>50</v>
      </c>
      <c r="D133" s="20">
        <v>50.5</v>
      </c>
      <c r="E133" s="20">
        <v>-0.5</v>
      </c>
      <c r="F133" s="20">
        <v>-0.04</v>
      </c>
      <c r="G133" s="20">
        <v>949.28</v>
      </c>
      <c r="H133" s="20"/>
      <c r="I133" s="20"/>
      <c r="J133" s="20"/>
      <c r="K133" s="20"/>
    </row>
    <row r="134" spans="1:11" ht="19.5" customHeight="1" x14ac:dyDescent="0.3">
      <c r="A134" s="22">
        <v>46045.616314479164</v>
      </c>
      <c r="B134" s="20">
        <v>12.8</v>
      </c>
      <c r="C134" s="20">
        <v>50</v>
      </c>
      <c r="D134" s="20">
        <v>50.49</v>
      </c>
      <c r="E134" s="20">
        <v>-0.49</v>
      </c>
      <c r="F134" s="20">
        <v>0.01</v>
      </c>
      <c r="G134" s="20">
        <v>993.28</v>
      </c>
      <c r="H134" s="20"/>
      <c r="I134" s="20"/>
      <c r="J134" s="20"/>
      <c r="K134" s="20"/>
    </row>
    <row r="135" spans="1:11" ht="19.5" customHeight="1" x14ac:dyDescent="0.3">
      <c r="A135" s="22">
        <v>46045.616315636573</v>
      </c>
      <c r="B135" s="20">
        <v>12.9</v>
      </c>
      <c r="C135" s="20">
        <v>50</v>
      </c>
      <c r="D135" s="20">
        <v>50.43</v>
      </c>
      <c r="E135" s="20">
        <v>-0.43</v>
      </c>
      <c r="F135" s="20">
        <v>0.06</v>
      </c>
      <c r="G135" s="20">
        <v>1116.56</v>
      </c>
      <c r="H135" s="20"/>
      <c r="I135" s="20"/>
      <c r="J135" s="20"/>
      <c r="K135" s="20"/>
    </row>
    <row r="136" spans="1:11" ht="19.5" customHeight="1" x14ac:dyDescent="0.3">
      <c r="A136" s="22">
        <v>46045.616316793981</v>
      </c>
      <c r="B136" s="20">
        <v>13</v>
      </c>
      <c r="C136" s="20">
        <v>50</v>
      </c>
      <c r="D136" s="20">
        <v>50.49</v>
      </c>
      <c r="E136" s="20">
        <v>-0.49</v>
      </c>
      <c r="F136" s="20">
        <v>-0.05</v>
      </c>
      <c r="G136" s="20">
        <v>957.7</v>
      </c>
      <c r="H136" s="20"/>
      <c r="I136" s="20"/>
      <c r="J136" s="20"/>
      <c r="K136" s="20"/>
    </row>
    <row r="137" spans="1:11" ht="19.5" customHeight="1" x14ac:dyDescent="0.3">
      <c r="A137" s="22">
        <v>46045.616317962966</v>
      </c>
      <c r="B137" s="20">
        <v>13.1</v>
      </c>
      <c r="C137" s="20">
        <v>50</v>
      </c>
      <c r="D137" s="20">
        <v>50.46</v>
      </c>
      <c r="E137" s="20">
        <v>-0.46</v>
      </c>
      <c r="F137" s="20">
        <v>0.02</v>
      </c>
      <c r="G137" s="20">
        <v>1036.96</v>
      </c>
      <c r="H137" s="20"/>
      <c r="I137" s="20"/>
      <c r="J137" s="20"/>
      <c r="K137" s="20"/>
    </row>
    <row r="138" spans="1:11" ht="19.5" customHeight="1" x14ac:dyDescent="0.3">
      <c r="A138" s="22">
        <v>46045.616319108798</v>
      </c>
      <c r="B138" s="20">
        <v>13.2</v>
      </c>
      <c r="C138" s="20">
        <v>50</v>
      </c>
      <c r="D138" s="20">
        <v>50.48</v>
      </c>
      <c r="E138" s="20">
        <v>-0.48</v>
      </c>
      <c r="F138" s="20">
        <v>-0.02</v>
      </c>
      <c r="G138" s="20">
        <v>959.7</v>
      </c>
      <c r="H138" s="20"/>
      <c r="I138" s="20"/>
      <c r="J138" s="20"/>
      <c r="K138" s="20"/>
    </row>
    <row r="139" spans="1:11" ht="19.5" customHeight="1" x14ac:dyDescent="0.3">
      <c r="A139" s="22">
        <v>46045.616320277775</v>
      </c>
      <c r="B139" s="20">
        <v>13.3</v>
      </c>
      <c r="C139" s="20">
        <v>50</v>
      </c>
      <c r="D139" s="20">
        <v>50.47</v>
      </c>
      <c r="E139" s="20">
        <v>-0.47</v>
      </c>
      <c r="F139" s="20">
        <v>0.01</v>
      </c>
      <c r="G139" s="20">
        <v>1001.49</v>
      </c>
      <c r="H139" s="20"/>
      <c r="I139" s="20"/>
      <c r="J139" s="20"/>
      <c r="K139" s="20"/>
    </row>
    <row r="140" spans="1:11" ht="19.5" customHeight="1" x14ac:dyDescent="0.3">
      <c r="A140" s="22">
        <v>46045.616321423608</v>
      </c>
      <c r="B140" s="20">
        <v>13.4</v>
      </c>
      <c r="C140" s="20">
        <v>50</v>
      </c>
      <c r="D140" s="20">
        <v>50.48</v>
      </c>
      <c r="E140" s="20">
        <v>-0.48</v>
      </c>
      <c r="F140" s="20">
        <v>-0.01</v>
      </c>
      <c r="G140" s="20">
        <v>961.68</v>
      </c>
      <c r="H140" s="20"/>
      <c r="I140" s="20"/>
      <c r="J140" s="20"/>
      <c r="K140" s="20"/>
    </row>
    <row r="141" spans="1:11" ht="19.5" customHeight="1" x14ac:dyDescent="0.3">
      <c r="A141" s="22">
        <v>46045.616322581016</v>
      </c>
      <c r="B141" s="20">
        <v>13.5</v>
      </c>
      <c r="C141" s="20">
        <v>50</v>
      </c>
      <c r="D141" s="20">
        <v>50.47</v>
      </c>
      <c r="E141" s="20">
        <v>-0.47</v>
      </c>
      <c r="F141" s="20">
        <v>0.01</v>
      </c>
      <c r="G141" s="20">
        <v>1003.01</v>
      </c>
      <c r="H141" s="20"/>
      <c r="I141" s="20"/>
      <c r="J141" s="20"/>
      <c r="K141" s="20"/>
    </row>
    <row r="142" spans="1:11" ht="19.5" customHeight="1" x14ac:dyDescent="0.3">
      <c r="A142" s="22">
        <v>46045.616323738424</v>
      </c>
      <c r="B142" s="20">
        <v>13.6</v>
      </c>
      <c r="C142" s="20">
        <v>50</v>
      </c>
      <c r="D142" s="20">
        <v>50.42</v>
      </c>
      <c r="E142" s="20">
        <v>-0.42</v>
      </c>
      <c r="F142" s="20">
        <v>0.05</v>
      </c>
      <c r="G142" s="20">
        <v>1103.27</v>
      </c>
      <c r="H142" s="20"/>
      <c r="I142" s="20"/>
      <c r="J142" s="20"/>
      <c r="K142" s="20"/>
    </row>
    <row r="143" spans="1:11" ht="19.5" customHeight="1" x14ac:dyDescent="0.3">
      <c r="A143" s="22">
        <v>46045.616324907409</v>
      </c>
      <c r="B143" s="20">
        <v>13.7</v>
      </c>
      <c r="C143" s="20">
        <v>50</v>
      </c>
      <c r="D143" s="20">
        <v>50.43</v>
      </c>
      <c r="E143" s="20">
        <v>-0.43</v>
      </c>
      <c r="F143" s="20">
        <v>-0.02</v>
      </c>
      <c r="G143" s="20">
        <v>981.28</v>
      </c>
      <c r="H143" s="20"/>
      <c r="I143" s="20"/>
      <c r="J143" s="20"/>
      <c r="K143" s="20"/>
    </row>
    <row r="144" spans="1:11" ht="19.5" customHeight="1" x14ac:dyDescent="0.3">
      <c r="A144" s="22">
        <v>46045.616326053241</v>
      </c>
      <c r="B144" s="20">
        <v>13.8</v>
      </c>
      <c r="C144" s="20">
        <v>50</v>
      </c>
      <c r="D144" s="20">
        <v>50.48</v>
      </c>
      <c r="E144" s="20">
        <v>-0.48</v>
      </c>
      <c r="F144" s="20">
        <v>-0.04</v>
      </c>
      <c r="G144" s="20">
        <v>961.68</v>
      </c>
      <c r="H144" s="20"/>
      <c r="I144" s="20"/>
      <c r="J144" s="20"/>
      <c r="K144" s="20"/>
    </row>
    <row r="145" spans="1:11" ht="19.5" customHeight="1" x14ac:dyDescent="0.3">
      <c r="A145" s="22">
        <v>46045.61632721065</v>
      </c>
      <c r="B145" s="20">
        <v>13.9</v>
      </c>
      <c r="C145" s="20">
        <v>50</v>
      </c>
      <c r="D145" s="20">
        <v>50.43</v>
      </c>
      <c r="E145" s="20">
        <v>-0.43</v>
      </c>
      <c r="F145" s="20">
        <v>0.05</v>
      </c>
      <c r="G145" s="20">
        <v>1100.93</v>
      </c>
      <c r="H145" s="20"/>
      <c r="I145" s="20"/>
      <c r="J145" s="20"/>
      <c r="K145" s="20"/>
    </row>
    <row r="146" spans="1:11" ht="19.5" customHeight="1" x14ac:dyDescent="0.3">
      <c r="A146" s="22">
        <v>46045.616328368058</v>
      </c>
      <c r="B146" s="20">
        <v>14</v>
      </c>
      <c r="C146" s="20">
        <v>50</v>
      </c>
      <c r="D146" s="20">
        <v>50.45</v>
      </c>
      <c r="E146" s="20">
        <v>-0.45</v>
      </c>
      <c r="F146" s="20">
        <v>-0.02</v>
      </c>
      <c r="G146" s="20">
        <v>972.78</v>
      </c>
      <c r="H146" s="20"/>
      <c r="I146" s="20"/>
      <c r="J146" s="20"/>
      <c r="K146" s="20"/>
    </row>
    <row r="147" spans="1:11" ht="19.5" customHeight="1" x14ac:dyDescent="0.3">
      <c r="A147" s="22">
        <v>46045.616329456017</v>
      </c>
      <c r="B147" s="20">
        <v>14.1</v>
      </c>
      <c r="C147" s="20">
        <v>50</v>
      </c>
      <c r="D147" s="20">
        <v>50.45</v>
      </c>
      <c r="E147" s="20">
        <v>-0.45</v>
      </c>
      <c r="F147" s="20">
        <v>0</v>
      </c>
      <c r="G147" s="20">
        <v>972.78</v>
      </c>
      <c r="H147" s="20"/>
      <c r="I147" s="20"/>
      <c r="J147" s="20"/>
      <c r="K147" s="20"/>
    </row>
    <row r="148" spans="1:11" ht="19.5" customHeight="1" x14ac:dyDescent="0.3">
      <c r="A148" s="22">
        <v>46045.61633070602</v>
      </c>
      <c r="B148" s="20">
        <v>14.2</v>
      </c>
      <c r="C148" s="20">
        <v>50</v>
      </c>
      <c r="D148" s="20">
        <v>50.41</v>
      </c>
      <c r="E148" s="20">
        <v>-0.41</v>
      </c>
      <c r="F148" s="20">
        <v>0.04</v>
      </c>
      <c r="G148" s="20">
        <v>1087.3</v>
      </c>
      <c r="H148" s="20"/>
      <c r="I148" s="20"/>
      <c r="J148" s="20"/>
      <c r="K148" s="20"/>
    </row>
    <row r="149" spans="1:11" ht="19.5" customHeight="1" x14ac:dyDescent="0.3">
      <c r="A149" s="22">
        <v>46045.616331828707</v>
      </c>
      <c r="B149" s="20">
        <v>14.3</v>
      </c>
      <c r="C149" s="20">
        <v>50</v>
      </c>
      <c r="D149" s="20">
        <v>50.41</v>
      </c>
      <c r="E149" s="20">
        <v>-0.41</v>
      </c>
      <c r="F149" s="20">
        <v>0</v>
      </c>
      <c r="G149" s="20">
        <v>989.14</v>
      </c>
      <c r="H149" s="20"/>
      <c r="I149" s="20"/>
      <c r="J149" s="20"/>
      <c r="K149" s="20"/>
    </row>
    <row r="150" spans="1:11" ht="19.5" customHeight="1" x14ac:dyDescent="0.3">
      <c r="A150" s="22">
        <v>46045.616332997684</v>
      </c>
      <c r="B150" s="20">
        <v>14.4</v>
      </c>
      <c r="C150" s="20">
        <v>50</v>
      </c>
      <c r="D150" s="20">
        <v>50.41</v>
      </c>
      <c r="E150" s="20">
        <v>-0.41</v>
      </c>
      <c r="F150" s="20">
        <v>0</v>
      </c>
      <c r="G150" s="20">
        <v>989.14</v>
      </c>
      <c r="H150" s="20"/>
      <c r="I150" s="20"/>
      <c r="J150" s="20"/>
      <c r="K150" s="20"/>
    </row>
    <row r="151" spans="1:11" ht="19.5" customHeight="1" x14ac:dyDescent="0.3">
      <c r="A151" s="22">
        <v>46045.616334189814</v>
      </c>
      <c r="B151" s="20">
        <v>14.5</v>
      </c>
      <c r="C151" s="20">
        <v>50</v>
      </c>
      <c r="D151" s="20">
        <v>50.45</v>
      </c>
      <c r="E151" s="20">
        <v>-0.45</v>
      </c>
      <c r="F151" s="20">
        <v>-0.04</v>
      </c>
      <c r="G151" s="20">
        <v>974.54</v>
      </c>
      <c r="H151" s="20"/>
      <c r="I151" s="20"/>
      <c r="J151" s="20"/>
      <c r="K151" s="20"/>
    </row>
    <row r="152" spans="1:11" ht="19.5" customHeight="1" x14ac:dyDescent="0.3">
      <c r="A152" s="22">
        <v>46045.616335324077</v>
      </c>
      <c r="B152" s="20">
        <v>14.6</v>
      </c>
      <c r="C152" s="20">
        <v>50</v>
      </c>
      <c r="D152" s="20">
        <v>50.44</v>
      </c>
      <c r="E152" s="20">
        <v>-0.44</v>
      </c>
      <c r="F152" s="20">
        <v>0.01</v>
      </c>
      <c r="G152" s="20">
        <v>1013.34</v>
      </c>
      <c r="H152" s="20"/>
      <c r="I152" s="20"/>
      <c r="J152" s="20"/>
      <c r="K152" s="20"/>
    </row>
    <row r="153" spans="1:11" ht="19.5" customHeight="1" x14ac:dyDescent="0.3">
      <c r="A153" s="22">
        <v>46045.61633646991</v>
      </c>
      <c r="B153" s="20">
        <v>14.7</v>
      </c>
      <c r="C153" s="20">
        <v>50</v>
      </c>
      <c r="D153" s="20">
        <v>50.45</v>
      </c>
      <c r="E153" s="20">
        <v>-0.45</v>
      </c>
      <c r="F153" s="20">
        <v>-0.01</v>
      </c>
      <c r="G153" s="20">
        <v>974.54</v>
      </c>
      <c r="H153" s="20"/>
      <c r="I153" s="20"/>
      <c r="J153" s="20"/>
      <c r="K153" s="20"/>
    </row>
    <row r="154" spans="1:11" ht="19.5" customHeight="1" x14ac:dyDescent="0.3">
      <c r="A154" s="22">
        <v>46045.616337627318</v>
      </c>
      <c r="B154" s="20">
        <v>14.8</v>
      </c>
      <c r="C154" s="20">
        <v>50</v>
      </c>
      <c r="D154" s="20">
        <v>50.46</v>
      </c>
      <c r="E154" s="20">
        <v>-0.46</v>
      </c>
      <c r="F154" s="20">
        <v>-0.01</v>
      </c>
      <c r="G154" s="20">
        <v>969.19</v>
      </c>
      <c r="H154" s="20"/>
      <c r="I154" s="20"/>
      <c r="J154" s="20"/>
      <c r="K154" s="20"/>
    </row>
    <row r="155" spans="1:11" ht="19.5" customHeight="1" x14ac:dyDescent="0.3">
      <c r="A155" s="22">
        <v>46045.616338784719</v>
      </c>
      <c r="B155" s="20">
        <v>14.9</v>
      </c>
      <c r="C155" s="20">
        <v>50</v>
      </c>
      <c r="D155" s="20">
        <v>50.47</v>
      </c>
      <c r="E155" s="20">
        <v>-0.47</v>
      </c>
      <c r="F155" s="20">
        <v>0</v>
      </c>
      <c r="G155" s="20">
        <v>967.36</v>
      </c>
      <c r="H155" s="20"/>
      <c r="I155" s="20"/>
      <c r="J155" s="20"/>
      <c r="K155" s="20"/>
    </row>
    <row r="156" spans="1:11" ht="19.5" customHeight="1" x14ac:dyDescent="0.3">
      <c r="A156" s="22">
        <v>46045.616339988424</v>
      </c>
      <c r="B156" s="20">
        <v>15</v>
      </c>
      <c r="C156" s="20">
        <v>50</v>
      </c>
      <c r="D156" s="20">
        <v>50.46</v>
      </c>
      <c r="E156" s="20">
        <v>-0.46</v>
      </c>
      <c r="F156" s="20">
        <v>0</v>
      </c>
      <c r="G156" s="20">
        <v>981.3</v>
      </c>
      <c r="H156" s="20"/>
      <c r="I156" s="20"/>
      <c r="J156" s="20"/>
      <c r="K156" s="20"/>
    </row>
    <row r="157" spans="1:11" ht="19.5" customHeight="1" x14ac:dyDescent="0.3">
      <c r="A157" s="22">
        <v>46045.616341099536</v>
      </c>
      <c r="B157" s="20">
        <v>15.1</v>
      </c>
      <c r="C157" s="20">
        <v>50</v>
      </c>
      <c r="D157" s="20">
        <v>50.46</v>
      </c>
      <c r="E157" s="20">
        <v>-0.46</v>
      </c>
      <c r="F157" s="20">
        <v>0</v>
      </c>
      <c r="G157" s="20">
        <v>969.19</v>
      </c>
      <c r="H157" s="20"/>
      <c r="I157" s="20"/>
      <c r="J157" s="20"/>
      <c r="K157" s="20"/>
    </row>
    <row r="158" spans="1:11" ht="19.5" customHeight="1" x14ac:dyDescent="0.3">
      <c r="A158" s="22">
        <v>46045.61634226852</v>
      </c>
      <c r="B158" s="20">
        <v>15.2</v>
      </c>
      <c r="C158" s="20">
        <v>50</v>
      </c>
      <c r="D158" s="20">
        <v>50.47</v>
      </c>
      <c r="E158" s="20">
        <v>-0.47</v>
      </c>
      <c r="F158" s="20">
        <v>-0.01</v>
      </c>
      <c r="G158" s="20">
        <v>963.6</v>
      </c>
      <c r="H158" s="20"/>
      <c r="I158" s="20"/>
      <c r="J158" s="20"/>
      <c r="K158" s="20"/>
    </row>
    <row r="159" spans="1:11" ht="19.5" customHeight="1" x14ac:dyDescent="0.3">
      <c r="A159" s="22">
        <v>46045.616343414353</v>
      </c>
      <c r="B159" s="20">
        <v>15.3</v>
      </c>
      <c r="C159" s="20">
        <v>50</v>
      </c>
      <c r="D159" s="20">
        <v>50.42</v>
      </c>
      <c r="E159" s="20">
        <v>-0.42</v>
      </c>
      <c r="F159" s="20">
        <v>0.05</v>
      </c>
      <c r="G159" s="20">
        <v>1110.68</v>
      </c>
      <c r="H159" s="20"/>
      <c r="I159" s="20"/>
      <c r="J159" s="20"/>
      <c r="K159" s="20"/>
    </row>
    <row r="160" spans="1:11" ht="19.5" customHeight="1" x14ac:dyDescent="0.3">
      <c r="A160" s="22">
        <v>46045.616344560185</v>
      </c>
      <c r="B160" s="20">
        <v>15.4</v>
      </c>
      <c r="C160" s="20">
        <v>50</v>
      </c>
      <c r="D160" s="20">
        <v>50.41</v>
      </c>
      <c r="E160" s="20">
        <v>-0.41</v>
      </c>
      <c r="F160" s="20">
        <v>0.01</v>
      </c>
      <c r="G160" s="20">
        <v>1022.67</v>
      </c>
      <c r="H160" s="20"/>
      <c r="I160" s="20"/>
      <c r="J160" s="20"/>
      <c r="K160" s="20"/>
    </row>
    <row r="161" spans="1:11" ht="19.5" customHeight="1" x14ac:dyDescent="0.3">
      <c r="A161" s="22">
        <v>46045.616345740738</v>
      </c>
      <c r="B161" s="20">
        <v>15.5</v>
      </c>
      <c r="C161" s="20">
        <v>50</v>
      </c>
      <c r="D161" s="20">
        <v>50.43</v>
      </c>
      <c r="E161" s="20">
        <v>-0.43</v>
      </c>
      <c r="F161" s="20">
        <v>-0.02</v>
      </c>
      <c r="G161" s="20">
        <v>982.9</v>
      </c>
      <c r="H161" s="20"/>
      <c r="I161" s="20"/>
      <c r="J161" s="20"/>
      <c r="K161" s="20"/>
    </row>
    <row r="162" spans="1:11" ht="19.5" customHeight="1" x14ac:dyDescent="0.3">
      <c r="A162" s="22">
        <v>46045.616346886571</v>
      </c>
      <c r="B162" s="20">
        <v>15.6</v>
      </c>
      <c r="C162" s="20">
        <v>50</v>
      </c>
      <c r="D162" s="20">
        <v>50.46</v>
      </c>
      <c r="E162" s="20">
        <v>-0.46</v>
      </c>
      <c r="F162" s="20">
        <v>-0.03</v>
      </c>
      <c r="G162" s="20">
        <v>970.99</v>
      </c>
      <c r="H162" s="20"/>
      <c r="I162" s="20"/>
      <c r="J162" s="20"/>
      <c r="K162" s="20"/>
    </row>
    <row r="163" spans="1:11" ht="19.5" customHeight="1" x14ac:dyDescent="0.3">
      <c r="A163" s="22">
        <v>46045.616348055555</v>
      </c>
      <c r="B163" s="20">
        <v>15.7</v>
      </c>
      <c r="C163" s="20">
        <v>50</v>
      </c>
      <c r="D163" s="20">
        <v>50.47</v>
      </c>
      <c r="E163" s="20">
        <v>-0.47</v>
      </c>
      <c r="F163" s="20">
        <v>-0.01</v>
      </c>
      <c r="G163" s="20">
        <v>967.36</v>
      </c>
      <c r="H163" s="20"/>
      <c r="I163" s="20"/>
      <c r="J163" s="20"/>
      <c r="K163" s="20"/>
    </row>
    <row r="164" spans="1:11" ht="19.5" customHeight="1" x14ac:dyDescent="0.3">
      <c r="A164" s="22">
        <v>46045.616349201387</v>
      </c>
      <c r="B164" s="20">
        <v>15.8</v>
      </c>
      <c r="C164" s="20">
        <v>50</v>
      </c>
      <c r="D164" s="20">
        <v>50.45</v>
      </c>
      <c r="E164" s="20">
        <v>-0.45</v>
      </c>
      <c r="F164" s="20">
        <v>0.01</v>
      </c>
      <c r="G164" s="20">
        <v>1007.54</v>
      </c>
      <c r="H164" s="20"/>
      <c r="I164" s="20"/>
      <c r="J164" s="20"/>
      <c r="K164" s="20"/>
    </row>
    <row r="165" spans="1:11" ht="19.5" customHeight="1" x14ac:dyDescent="0.3">
      <c r="A165" s="22">
        <v>46045.616350289354</v>
      </c>
      <c r="B165" s="20">
        <v>15.9</v>
      </c>
      <c r="C165" s="20">
        <v>50</v>
      </c>
      <c r="D165" s="20">
        <v>50.4</v>
      </c>
      <c r="E165" s="20">
        <v>-0.4</v>
      </c>
      <c r="F165" s="20">
        <v>0.05</v>
      </c>
      <c r="G165" s="20">
        <v>1114.3499999999999</v>
      </c>
      <c r="H165" s="20"/>
      <c r="I165" s="20"/>
      <c r="J165" s="20"/>
      <c r="K165" s="20"/>
    </row>
    <row r="166" spans="1:11" ht="19.5" customHeight="1" x14ac:dyDescent="0.3">
      <c r="A166" s="22">
        <v>46045.61635152778</v>
      </c>
      <c r="B166" s="20">
        <v>16</v>
      </c>
      <c r="C166" s="20">
        <v>50</v>
      </c>
      <c r="D166" s="20">
        <v>50.43</v>
      </c>
      <c r="E166" s="20">
        <v>-0.43</v>
      </c>
      <c r="F166" s="20">
        <v>-0.02</v>
      </c>
      <c r="G166" s="20">
        <v>984.48</v>
      </c>
      <c r="H166" s="20"/>
      <c r="I166" s="20"/>
      <c r="J166" s="20"/>
      <c r="K166" s="20"/>
    </row>
    <row r="167" spans="1:11" ht="19.5" customHeight="1" x14ac:dyDescent="0.3">
      <c r="A167" s="22">
        <v>46045.616352673613</v>
      </c>
      <c r="B167" s="20">
        <v>16.100000000000001</v>
      </c>
      <c r="C167" s="20">
        <v>50</v>
      </c>
      <c r="D167" s="20">
        <v>50.44</v>
      </c>
      <c r="E167" s="20">
        <v>-0.44</v>
      </c>
      <c r="F167" s="20">
        <v>-0.02</v>
      </c>
      <c r="G167" s="20">
        <v>977.96</v>
      </c>
      <c r="H167" s="20"/>
      <c r="I167" s="20"/>
      <c r="J167" s="20"/>
      <c r="K167" s="20"/>
    </row>
    <row r="168" spans="1:11" ht="19.5" customHeight="1" x14ac:dyDescent="0.3">
      <c r="A168" s="22">
        <v>46045.616353831021</v>
      </c>
      <c r="B168" s="20">
        <v>16.2</v>
      </c>
      <c r="C168" s="20">
        <v>50</v>
      </c>
      <c r="D168" s="20">
        <v>50.45</v>
      </c>
      <c r="E168" s="20">
        <v>-0.45</v>
      </c>
      <c r="F168" s="20">
        <v>-0.01</v>
      </c>
      <c r="G168" s="20">
        <v>972.78</v>
      </c>
      <c r="H168" s="20"/>
      <c r="I168" s="20"/>
      <c r="J168" s="20"/>
      <c r="K168" s="20"/>
    </row>
    <row r="169" spans="1:11" ht="19.5" customHeight="1" x14ac:dyDescent="0.3">
      <c r="A169" s="22">
        <v>46045.616355011574</v>
      </c>
      <c r="B169" s="20">
        <v>16.3</v>
      </c>
      <c r="C169" s="20">
        <v>50</v>
      </c>
      <c r="D169" s="20">
        <v>50.45</v>
      </c>
      <c r="E169" s="20">
        <v>-0.45</v>
      </c>
      <c r="F169" s="20">
        <v>0.01</v>
      </c>
      <c r="G169" s="20">
        <v>999.41</v>
      </c>
      <c r="H169" s="20"/>
      <c r="I169" s="20"/>
      <c r="J169" s="20"/>
      <c r="K169" s="20"/>
    </row>
    <row r="170" spans="1:11" ht="19.5" customHeight="1" x14ac:dyDescent="0.3">
      <c r="A170" s="22">
        <v>46045.616356145831</v>
      </c>
      <c r="B170" s="20">
        <v>16.399999999999999</v>
      </c>
      <c r="C170" s="20">
        <v>50</v>
      </c>
      <c r="D170" s="20">
        <v>50.46</v>
      </c>
      <c r="E170" s="20">
        <v>-0.46</v>
      </c>
      <c r="F170" s="20">
        <v>-0.01</v>
      </c>
      <c r="G170" s="20">
        <v>970.99</v>
      </c>
      <c r="H170" s="20"/>
      <c r="I170" s="20"/>
      <c r="J170" s="20"/>
      <c r="K170" s="20"/>
    </row>
    <row r="171" spans="1:11" ht="19.5" customHeight="1" x14ac:dyDescent="0.3">
      <c r="A171" s="22">
        <v>46045.616357314815</v>
      </c>
      <c r="B171" s="20">
        <v>16.5</v>
      </c>
      <c r="C171" s="20">
        <v>50</v>
      </c>
      <c r="D171" s="20">
        <v>50.44</v>
      </c>
      <c r="E171" s="20">
        <v>-0.44</v>
      </c>
      <c r="F171" s="20">
        <v>0.02</v>
      </c>
      <c r="G171" s="20">
        <v>1034.28</v>
      </c>
      <c r="H171" s="20"/>
      <c r="I171" s="20"/>
      <c r="J171" s="20"/>
      <c r="K171" s="20"/>
    </row>
    <row r="172" spans="1:11" ht="19.5" customHeight="1" x14ac:dyDescent="0.3">
      <c r="A172" s="22">
        <v>46045.616358460647</v>
      </c>
      <c r="B172" s="20">
        <v>16.600000000000001</v>
      </c>
      <c r="C172" s="20">
        <v>50</v>
      </c>
      <c r="D172" s="20">
        <v>50.45</v>
      </c>
      <c r="E172" s="20">
        <v>-0.45</v>
      </c>
      <c r="F172" s="20">
        <v>-0.02</v>
      </c>
      <c r="G172" s="20">
        <v>972.78</v>
      </c>
      <c r="H172" s="20"/>
      <c r="I172" s="20"/>
      <c r="J172" s="20"/>
      <c r="K172" s="20"/>
    </row>
    <row r="173" spans="1:11" ht="19.5" customHeight="1" x14ac:dyDescent="0.3">
      <c r="A173" s="22">
        <v>46045.616359618056</v>
      </c>
      <c r="B173" s="20">
        <v>16.7</v>
      </c>
      <c r="C173" s="20">
        <v>50</v>
      </c>
      <c r="D173" s="20">
        <v>50.42</v>
      </c>
      <c r="E173" s="20">
        <v>-0.42</v>
      </c>
      <c r="F173" s="20">
        <v>0.03</v>
      </c>
      <c r="G173" s="20">
        <v>1067.69</v>
      </c>
      <c r="H173" s="20"/>
      <c r="I173" s="20"/>
      <c r="J173" s="20"/>
      <c r="K173" s="20"/>
    </row>
    <row r="174" spans="1:11" ht="19.5" customHeight="1" x14ac:dyDescent="0.3">
      <c r="A174" s="22">
        <v>46045.616360798609</v>
      </c>
      <c r="B174" s="20">
        <v>16.8</v>
      </c>
      <c r="C174" s="20">
        <v>50</v>
      </c>
      <c r="D174" s="20">
        <v>50.46</v>
      </c>
      <c r="E174" s="20">
        <v>-0.46</v>
      </c>
      <c r="F174" s="20">
        <v>-0.04</v>
      </c>
      <c r="G174" s="20">
        <v>970.99</v>
      </c>
      <c r="H174" s="20"/>
      <c r="I174" s="20"/>
      <c r="J174" s="20"/>
      <c r="K174" s="20"/>
    </row>
    <row r="175" spans="1:11" ht="19.5" customHeight="1" x14ac:dyDescent="0.3">
      <c r="A175" s="22">
        <v>46045.616361932873</v>
      </c>
      <c r="B175" s="20">
        <v>16.899999999999999</v>
      </c>
      <c r="C175" s="20">
        <v>50</v>
      </c>
      <c r="D175" s="20">
        <v>50.48</v>
      </c>
      <c r="E175" s="20">
        <v>-0.48</v>
      </c>
      <c r="F175" s="20">
        <v>-0.02</v>
      </c>
      <c r="G175" s="20">
        <v>961.68</v>
      </c>
      <c r="H175" s="20"/>
      <c r="I175" s="20"/>
      <c r="J175" s="20"/>
      <c r="K175" s="20"/>
    </row>
    <row r="176" spans="1:11" ht="19.5" customHeight="1" x14ac:dyDescent="0.3">
      <c r="A176" s="22">
        <v>46045.616363090281</v>
      </c>
      <c r="B176" s="20">
        <v>17</v>
      </c>
      <c r="C176" s="20">
        <v>50</v>
      </c>
      <c r="D176" s="20">
        <v>50.47</v>
      </c>
      <c r="E176" s="20">
        <v>-0.47</v>
      </c>
      <c r="F176" s="20">
        <v>0.01</v>
      </c>
      <c r="G176" s="20">
        <v>1003.01</v>
      </c>
      <c r="H176" s="20"/>
      <c r="I176" s="20"/>
      <c r="J176" s="20"/>
      <c r="K176" s="20"/>
    </row>
    <row r="177" spans="1:11" ht="19.5" customHeight="1" x14ac:dyDescent="0.3">
      <c r="A177" s="22">
        <v>46045.616364201385</v>
      </c>
      <c r="B177" s="20">
        <v>17.100000000000001</v>
      </c>
      <c r="C177" s="20">
        <v>50</v>
      </c>
      <c r="D177" s="20">
        <v>50.45</v>
      </c>
      <c r="E177" s="20">
        <v>-0.45</v>
      </c>
      <c r="F177" s="20">
        <v>0.01</v>
      </c>
      <c r="G177" s="20">
        <v>1007.54</v>
      </c>
      <c r="H177" s="20"/>
      <c r="I177" s="20"/>
      <c r="J177" s="20"/>
      <c r="K177" s="20"/>
    </row>
    <row r="178" spans="1:11" ht="19.5" customHeight="1" x14ac:dyDescent="0.3">
      <c r="A178" s="22">
        <v>46045.616365405091</v>
      </c>
      <c r="B178" s="20">
        <v>17.2</v>
      </c>
      <c r="C178" s="20">
        <v>50</v>
      </c>
      <c r="D178" s="20">
        <v>50.45</v>
      </c>
      <c r="E178" s="20">
        <v>-0.45</v>
      </c>
      <c r="F178" s="20">
        <v>0.01</v>
      </c>
      <c r="G178" s="20">
        <v>999.41</v>
      </c>
      <c r="H178" s="20"/>
      <c r="I178" s="20"/>
      <c r="J178" s="20"/>
      <c r="K178" s="20"/>
    </row>
    <row r="179" spans="1:11" ht="19.5" customHeight="1" x14ac:dyDescent="0.3">
      <c r="A179" s="22">
        <v>46045.616366574075</v>
      </c>
      <c r="B179" s="20">
        <v>17.3</v>
      </c>
      <c r="C179" s="20">
        <v>50</v>
      </c>
      <c r="D179" s="20">
        <v>50.46</v>
      </c>
      <c r="E179" s="20">
        <v>-0.46</v>
      </c>
      <c r="F179" s="20">
        <v>-0.02</v>
      </c>
      <c r="G179" s="20">
        <v>969.19</v>
      </c>
      <c r="H179" s="20"/>
      <c r="I179" s="20"/>
      <c r="J179" s="20"/>
      <c r="K179" s="20"/>
    </row>
    <row r="180" spans="1:11" ht="19.5" customHeight="1" x14ac:dyDescent="0.3">
      <c r="A180" s="22">
        <v>46045.616367731483</v>
      </c>
      <c r="B180" s="20">
        <v>17.399999999999999</v>
      </c>
      <c r="C180" s="20">
        <v>50</v>
      </c>
      <c r="D180" s="20">
        <v>50.47</v>
      </c>
      <c r="E180" s="20">
        <v>-0.47</v>
      </c>
      <c r="F180" s="20">
        <v>-0.01</v>
      </c>
      <c r="G180" s="20">
        <v>965.51</v>
      </c>
      <c r="H180" s="20"/>
      <c r="I180" s="20"/>
      <c r="J180" s="20"/>
      <c r="K180" s="20"/>
    </row>
    <row r="181" spans="1:11" ht="19.5" customHeight="1" x14ac:dyDescent="0.3">
      <c r="A181" s="22">
        <v>46045.616368888892</v>
      </c>
      <c r="B181" s="20">
        <v>17.5</v>
      </c>
      <c r="C181" s="20">
        <v>50</v>
      </c>
      <c r="D181" s="20">
        <v>50.47</v>
      </c>
      <c r="E181" s="20">
        <v>-0.47</v>
      </c>
      <c r="F181" s="20">
        <v>0</v>
      </c>
      <c r="G181" s="20">
        <v>979.59</v>
      </c>
      <c r="H181" s="20"/>
      <c r="I181" s="20"/>
      <c r="J181" s="20"/>
      <c r="K181" s="20"/>
    </row>
    <row r="182" spans="1:11" ht="19.5" customHeight="1" x14ac:dyDescent="0.3">
      <c r="A182" s="22">
        <v>46045.616370034724</v>
      </c>
      <c r="B182" s="20">
        <v>17.600000000000001</v>
      </c>
      <c r="C182" s="20">
        <v>50</v>
      </c>
      <c r="D182" s="20">
        <v>50.39</v>
      </c>
      <c r="E182" s="20">
        <v>-0.39</v>
      </c>
      <c r="F182" s="20">
        <v>7.0000000000000007E-2</v>
      </c>
      <c r="G182" s="20">
        <v>1152.31</v>
      </c>
      <c r="H182" s="20"/>
      <c r="I182" s="20"/>
      <c r="J182" s="20"/>
      <c r="K182" s="20"/>
    </row>
    <row r="183" spans="1:11" ht="19.5" customHeight="1" x14ac:dyDescent="0.3">
      <c r="A183" s="22">
        <v>46045.616371192133</v>
      </c>
      <c r="B183" s="20">
        <v>17.7</v>
      </c>
      <c r="C183" s="20">
        <v>50</v>
      </c>
      <c r="D183" s="20">
        <v>50.44</v>
      </c>
      <c r="E183" s="20">
        <v>-0.44</v>
      </c>
      <c r="F183" s="20">
        <v>-0.05</v>
      </c>
      <c r="G183" s="20">
        <v>977.96</v>
      </c>
      <c r="H183" s="20"/>
      <c r="I183" s="20"/>
      <c r="J183" s="20"/>
      <c r="K183" s="20"/>
    </row>
    <row r="184" spans="1:11" ht="19.5" customHeight="1" x14ac:dyDescent="0.3">
      <c r="A184" s="22">
        <v>46045.616372280092</v>
      </c>
      <c r="B184" s="20">
        <v>17.8</v>
      </c>
      <c r="C184" s="20">
        <v>50</v>
      </c>
      <c r="D184" s="20">
        <v>50.45</v>
      </c>
      <c r="E184" s="20">
        <v>-0.45</v>
      </c>
      <c r="F184" s="20">
        <v>-0.01</v>
      </c>
      <c r="G184" s="20">
        <v>974.54</v>
      </c>
      <c r="H184" s="20"/>
      <c r="I184" s="20"/>
      <c r="J184" s="20"/>
      <c r="K184" s="20"/>
    </row>
    <row r="185" spans="1:11" ht="19.5" customHeight="1" x14ac:dyDescent="0.3">
      <c r="A185" s="22">
        <v>46045.616373518518</v>
      </c>
      <c r="B185" s="20">
        <v>17.899999999999999</v>
      </c>
      <c r="C185" s="20">
        <v>50</v>
      </c>
      <c r="D185" s="20">
        <v>50.47</v>
      </c>
      <c r="E185" s="20">
        <v>-0.47</v>
      </c>
      <c r="F185" s="20">
        <v>-0.02</v>
      </c>
      <c r="G185" s="20">
        <v>963.6</v>
      </c>
      <c r="H185" s="20"/>
      <c r="I185" s="20"/>
      <c r="J185" s="20"/>
      <c r="K185" s="20"/>
    </row>
    <row r="186" spans="1:11" ht="19.5" customHeight="1" x14ac:dyDescent="0.3">
      <c r="A186" s="22">
        <v>46045.616374664351</v>
      </c>
      <c r="B186" s="20">
        <v>18</v>
      </c>
      <c r="C186" s="20">
        <v>50</v>
      </c>
      <c r="D186" s="20">
        <v>50.52</v>
      </c>
      <c r="E186" s="20">
        <v>-0.52</v>
      </c>
      <c r="F186" s="20">
        <v>-0.04</v>
      </c>
      <c r="G186" s="20">
        <v>942.55</v>
      </c>
      <c r="H186" s="20"/>
      <c r="I186" s="20"/>
      <c r="J186" s="20"/>
      <c r="K186" s="20"/>
    </row>
    <row r="187" spans="1:11" ht="19.5" customHeight="1" x14ac:dyDescent="0.3">
      <c r="A187" s="22">
        <v>46045.616375821759</v>
      </c>
      <c r="B187" s="20">
        <v>18.100000000000001</v>
      </c>
      <c r="C187" s="20">
        <v>50</v>
      </c>
      <c r="D187" s="20">
        <v>50.48</v>
      </c>
      <c r="E187" s="20">
        <v>-0.48</v>
      </c>
      <c r="F187" s="20">
        <v>0.03</v>
      </c>
      <c r="G187" s="20">
        <v>1051.46</v>
      </c>
      <c r="H187" s="20"/>
      <c r="I187" s="20"/>
      <c r="J187" s="20"/>
      <c r="K187" s="20"/>
    </row>
    <row r="188" spans="1:11" ht="19.5" customHeight="1" x14ac:dyDescent="0.3">
      <c r="A188" s="22">
        <v>46045.616376979167</v>
      </c>
      <c r="B188" s="20">
        <v>18.2</v>
      </c>
      <c r="C188" s="20">
        <v>50</v>
      </c>
      <c r="D188" s="20">
        <v>50.53</v>
      </c>
      <c r="E188" s="20">
        <v>-0.53</v>
      </c>
      <c r="F188" s="20">
        <v>-0.05</v>
      </c>
      <c r="G188" s="20">
        <v>932.88</v>
      </c>
      <c r="H188" s="20"/>
      <c r="I188" s="20"/>
      <c r="J188" s="20"/>
      <c r="K188" s="20"/>
    </row>
    <row r="189" spans="1:11" ht="19.5" customHeight="1" x14ac:dyDescent="0.3">
      <c r="A189" s="22">
        <v>46045.616378136576</v>
      </c>
      <c r="B189" s="20">
        <v>18.3</v>
      </c>
      <c r="C189" s="20">
        <v>50</v>
      </c>
      <c r="D189" s="20">
        <v>50.5</v>
      </c>
      <c r="E189" s="20">
        <v>-0.5</v>
      </c>
      <c r="F189" s="20">
        <v>0.03</v>
      </c>
      <c r="G189" s="20">
        <v>1046.57</v>
      </c>
      <c r="H189" s="20"/>
      <c r="I189" s="20"/>
      <c r="J189" s="20"/>
      <c r="K189" s="20"/>
    </row>
    <row r="190" spans="1:11" ht="19.5" customHeight="1" x14ac:dyDescent="0.3">
      <c r="A190" s="22">
        <v>46045.616379293984</v>
      </c>
      <c r="B190" s="20">
        <v>18.399999999999999</v>
      </c>
      <c r="C190" s="20">
        <v>50</v>
      </c>
      <c r="D190" s="20">
        <v>50.54</v>
      </c>
      <c r="E190" s="20">
        <v>-0.54</v>
      </c>
      <c r="F190" s="20">
        <v>-0.04</v>
      </c>
      <c r="G190" s="20">
        <v>925.05</v>
      </c>
      <c r="H190" s="20"/>
      <c r="I190" s="20"/>
      <c r="J190" s="20"/>
      <c r="K190" s="20"/>
    </row>
    <row r="191" spans="1:11" ht="19.5" customHeight="1" x14ac:dyDescent="0.3">
      <c r="A191" s="22">
        <v>46045.616380462961</v>
      </c>
      <c r="B191" s="20">
        <v>18.5</v>
      </c>
      <c r="C191" s="20">
        <v>50</v>
      </c>
      <c r="D191" s="20">
        <v>50.52</v>
      </c>
      <c r="E191" s="20">
        <v>-0.52</v>
      </c>
      <c r="F191" s="20">
        <v>0.02</v>
      </c>
      <c r="G191" s="20">
        <v>1003.8</v>
      </c>
      <c r="H191" s="20"/>
      <c r="I191" s="20"/>
      <c r="J191" s="20"/>
      <c r="K191" s="20"/>
    </row>
    <row r="192" spans="1:11" ht="19.5" customHeight="1" x14ac:dyDescent="0.3">
      <c r="A192" s="22">
        <v>46045.616381608794</v>
      </c>
      <c r="B192" s="20">
        <v>18.600000000000001</v>
      </c>
      <c r="C192" s="20">
        <v>50</v>
      </c>
      <c r="D192" s="20">
        <v>50.54</v>
      </c>
      <c r="E192" s="20">
        <v>-0.54</v>
      </c>
      <c r="F192" s="20">
        <v>-0.02</v>
      </c>
      <c r="G192" s="20">
        <v>925.05</v>
      </c>
      <c r="H192" s="20"/>
      <c r="I192" s="20"/>
      <c r="J192" s="20"/>
      <c r="K192" s="20"/>
    </row>
    <row r="193" spans="1:11" ht="19.5" customHeight="1" x14ac:dyDescent="0.3">
      <c r="A193" s="22">
        <v>46045.616382766202</v>
      </c>
      <c r="B193" s="20">
        <v>18.7</v>
      </c>
      <c r="C193" s="20">
        <v>50</v>
      </c>
      <c r="D193" s="20">
        <v>50.5</v>
      </c>
      <c r="E193" s="20">
        <v>-0.5</v>
      </c>
      <c r="F193" s="20">
        <v>0.04</v>
      </c>
      <c r="G193" s="20">
        <v>1065.98</v>
      </c>
      <c r="H193" s="20"/>
      <c r="I193" s="20"/>
      <c r="J193" s="20"/>
      <c r="K193" s="20"/>
    </row>
    <row r="194" spans="1:11" ht="19.5" customHeight="1" x14ac:dyDescent="0.3">
      <c r="A194" s="22">
        <v>46045.616383958331</v>
      </c>
      <c r="B194" s="20">
        <v>18.8</v>
      </c>
      <c r="C194" s="20">
        <v>50</v>
      </c>
      <c r="D194" s="20">
        <v>50.53</v>
      </c>
      <c r="E194" s="20">
        <v>-0.53</v>
      </c>
      <c r="F194" s="20">
        <v>-0.02</v>
      </c>
      <c r="G194" s="20">
        <v>935.39</v>
      </c>
      <c r="H194" s="20"/>
      <c r="I194" s="20"/>
      <c r="J194" s="20"/>
      <c r="K194" s="20"/>
    </row>
    <row r="195" spans="1:11" ht="19.5" customHeight="1" x14ac:dyDescent="0.3">
      <c r="A195" s="22">
        <v>46045.616385081019</v>
      </c>
      <c r="B195" s="20">
        <v>18.899999999999999</v>
      </c>
      <c r="C195" s="20">
        <v>50</v>
      </c>
      <c r="D195" s="20">
        <v>50.62</v>
      </c>
      <c r="E195" s="20">
        <v>-0.62</v>
      </c>
      <c r="F195" s="20">
        <v>-0.09</v>
      </c>
      <c r="G195" s="20">
        <v>863.42</v>
      </c>
      <c r="H195" s="20"/>
      <c r="I195" s="20"/>
      <c r="J195" s="20"/>
      <c r="K195" s="20"/>
    </row>
    <row r="196" spans="1:11" ht="19.5" customHeight="1" x14ac:dyDescent="0.3">
      <c r="A196" s="22">
        <v>46045.616386250003</v>
      </c>
      <c r="B196" s="20">
        <v>19</v>
      </c>
      <c r="C196" s="20">
        <v>50</v>
      </c>
      <c r="D196" s="20">
        <v>50.58</v>
      </c>
      <c r="E196" s="20">
        <v>-0.57999999999999996</v>
      </c>
      <c r="F196" s="20">
        <v>0.03</v>
      </c>
      <c r="G196" s="20">
        <v>1015.17</v>
      </c>
      <c r="H196" s="20"/>
      <c r="I196" s="20"/>
      <c r="J196" s="20"/>
      <c r="K196" s="20"/>
    </row>
    <row r="197" spans="1:11" ht="19.5" customHeight="1" x14ac:dyDescent="0.3">
      <c r="A197" s="22">
        <v>46045.616387395836</v>
      </c>
      <c r="B197" s="20">
        <v>19.100000000000001</v>
      </c>
      <c r="C197" s="20">
        <v>50</v>
      </c>
      <c r="D197" s="20">
        <v>50.59</v>
      </c>
      <c r="E197" s="20">
        <v>-0.59</v>
      </c>
      <c r="F197" s="20">
        <v>-0.01</v>
      </c>
      <c r="G197" s="20">
        <v>887.44</v>
      </c>
      <c r="H197" s="20"/>
      <c r="I197" s="20"/>
      <c r="J197" s="20"/>
      <c r="K197" s="20"/>
    </row>
    <row r="198" spans="1:11" ht="19.5" customHeight="1" x14ac:dyDescent="0.3">
      <c r="A198" s="22">
        <v>46045.616388564813</v>
      </c>
      <c r="B198" s="20">
        <v>19.2</v>
      </c>
      <c r="C198" s="20">
        <v>50</v>
      </c>
      <c r="D198" s="20">
        <v>50.6</v>
      </c>
      <c r="E198" s="20">
        <v>-0.6</v>
      </c>
      <c r="F198" s="20">
        <v>-0.01</v>
      </c>
      <c r="G198" s="20">
        <v>879.92</v>
      </c>
      <c r="H198" s="20"/>
      <c r="I198" s="20"/>
      <c r="J198" s="20"/>
      <c r="K198" s="20"/>
    </row>
    <row r="199" spans="1:11" ht="19.5" customHeight="1" x14ac:dyDescent="0.3">
      <c r="A199" s="22">
        <v>46045.616389710645</v>
      </c>
      <c r="B199" s="20">
        <v>19.3</v>
      </c>
      <c r="C199" s="20">
        <v>50</v>
      </c>
      <c r="D199" s="20">
        <v>50.63</v>
      </c>
      <c r="E199" s="20">
        <v>-0.63</v>
      </c>
      <c r="F199" s="20">
        <v>-0.03</v>
      </c>
      <c r="G199" s="20">
        <v>849.66</v>
      </c>
      <c r="H199" s="20"/>
      <c r="I199" s="20"/>
      <c r="J199" s="20"/>
      <c r="K199" s="20"/>
    </row>
    <row r="200" spans="1:11" ht="19.5" customHeight="1" x14ac:dyDescent="0.3">
      <c r="A200" s="22">
        <v>46045.616390868054</v>
      </c>
      <c r="B200" s="20">
        <v>19.399999999999999</v>
      </c>
      <c r="C200" s="20">
        <v>50</v>
      </c>
      <c r="D200" s="20">
        <v>50.61</v>
      </c>
      <c r="E200" s="20">
        <v>-0.61</v>
      </c>
      <c r="F200" s="20">
        <v>0.02</v>
      </c>
      <c r="G200" s="20">
        <v>939.59</v>
      </c>
      <c r="H200" s="20"/>
      <c r="I200" s="20"/>
      <c r="J200" s="20"/>
      <c r="K200" s="20"/>
    </row>
    <row r="201" spans="1:11" ht="19.5" customHeight="1" x14ac:dyDescent="0.3">
      <c r="A201" s="22">
        <v>46045.616392037038</v>
      </c>
      <c r="B201" s="20">
        <v>19.5</v>
      </c>
      <c r="C201" s="20">
        <v>50</v>
      </c>
      <c r="D201" s="20">
        <v>50.56</v>
      </c>
      <c r="E201" s="20">
        <v>-0.56000000000000005</v>
      </c>
      <c r="F201" s="20">
        <v>0.05</v>
      </c>
      <c r="G201" s="20">
        <v>1081.93</v>
      </c>
      <c r="H201" s="20"/>
      <c r="I201" s="20"/>
      <c r="J201" s="20"/>
      <c r="K201" s="20"/>
    </row>
    <row r="202" spans="1:11" ht="19.5" customHeight="1" x14ac:dyDescent="0.3">
      <c r="A202" s="22">
        <v>46045.616393182871</v>
      </c>
      <c r="B202" s="20">
        <v>19.600000000000001</v>
      </c>
      <c r="C202" s="20">
        <v>50</v>
      </c>
      <c r="D202" s="20">
        <v>50.55</v>
      </c>
      <c r="E202" s="20">
        <v>-0.55000000000000004</v>
      </c>
      <c r="F202" s="20">
        <v>0.01</v>
      </c>
      <c r="G202" s="20">
        <v>966.08</v>
      </c>
      <c r="H202" s="20"/>
      <c r="I202" s="20"/>
      <c r="J202" s="20"/>
      <c r="K202" s="20"/>
    </row>
    <row r="203" spans="1:11" ht="19.5" customHeight="1" x14ac:dyDescent="0.3">
      <c r="A203" s="22">
        <v>46045.616394340279</v>
      </c>
      <c r="B203" s="20">
        <v>19.7</v>
      </c>
      <c r="C203" s="20">
        <v>50</v>
      </c>
      <c r="D203" s="20">
        <v>50.52</v>
      </c>
      <c r="E203" s="20">
        <v>-0.52</v>
      </c>
      <c r="F203" s="20">
        <v>0.03</v>
      </c>
      <c r="G203" s="20">
        <v>1028.93</v>
      </c>
      <c r="H203" s="20"/>
      <c r="I203" s="20"/>
      <c r="J203" s="20"/>
      <c r="K203" s="20"/>
    </row>
    <row r="204" spans="1:11" ht="19.5" customHeight="1" x14ac:dyDescent="0.3">
      <c r="A204" s="22">
        <v>46045.616395497687</v>
      </c>
      <c r="B204" s="20">
        <v>19.8</v>
      </c>
      <c r="C204" s="20">
        <v>50</v>
      </c>
      <c r="D204" s="20">
        <v>50.55</v>
      </c>
      <c r="E204" s="20">
        <v>-0.55000000000000004</v>
      </c>
      <c r="F204" s="20">
        <v>-0.03</v>
      </c>
      <c r="G204" s="20">
        <v>922.33</v>
      </c>
      <c r="H204" s="20"/>
      <c r="I204" s="20"/>
      <c r="J204" s="20"/>
      <c r="K204" s="20"/>
    </row>
    <row r="205" spans="1:11" ht="19.5" customHeight="1" x14ac:dyDescent="0.3">
      <c r="A205" s="22">
        <v>46045.616396655096</v>
      </c>
      <c r="B205" s="20">
        <v>19.899999999999999</v>
      </c>
      <c r="C205" s="20">
        <v>50</v>
      </c>
      <c r="D205" s="20">
        <v>50.56</v>
      </c>
      <c r="E205" s="20">
        <v>-0.56000000000000005</v>
      </c>
      <c r="F205" s="20">
        <v>-0.01</v>
      </c>
      <c r="G205" s="20">
        <v>913.78</v>
      </c>
      <c r="H205" s="20"/>
      <c r="I205" s="20"/>
      <c r="J205" s="20"/>
      <c r="K205" s="20"/>
    </row>
    <row r="206" spans="1:11" ht="19.5" customHeight="1" x14ac:dyDescent="0.3">
      <c r="A206" s="22">
        <v>46045.616397824073</v>
      </c>
      <c r="B206" s="20">
        <v>20</v>
      </c>
      <c r="C206" s="20">
        <v>50</v>
      </c>
      <c r="D206" s="20">
        <v>50.54</v>
      </c>
      <c r="E206" s="20">
        <v>-0.54</v>
      </c>
      <c r="F206" s="20">
        <v>0.02</v>
      </c>
      <c r="G206" s="20">
        <v>981.73</v>
      </c>
      <c r="H206" s="20"/>
      <c r="I206" s="20"/>
      <c r="J206" s="20"/>
      <c r="K206" s="20"/>
    </row>
    <row r="207" spans="1:11" ht="19.5" customHeight="1" x14ac:dyDescent="0.3">
      <c r="A207" s="22">
        <v>46045.616398981481</v>
      </c>
      <c r="B207" s="20">
        <v>20.100000000000001</v>
      </c>
      <c r="C207" s="20">
        <v>50</v>
      </c>
      <c r="D207" s="20">
        <v>50.56</v>
      </c>
      <c r="E207" s="20">
        <v>-0.56000000000000005</v>
      </c>
      <c r="F207" s="20">
        <v>-0.01</v>
      </c>
      <c r="G207" s="20">
        <v>916.69</v>
      </c>
      <c r="H207" s="20"/>
      <c r="I207" s="20"/>
      <c r="J207" s="20"/>
      <c r="K207" s="20"/>
    </row>
    <row r="208" spans="1:11" ht="19.5" customHeight="1" x14ac:dyDescent="0.3">
      <c r="A208" s="22">
        <v>46045.61640013889</v>
      </c>
      <c r="B208" s="20">
        <v>20.2</v>
      </c>
      <c r="C208" s="20">
        <v>50</v>
      </c>
      <c r="D208" s="20">
        <v>50.49</v>
      </c>
      <c r="E208" s="20">
        <v>-0.49</v>
      </c>
      <c r="F208" s="20">
        <v>0.06</v>
      </c>
      <c r="G208" s="20">
        <v>1123.51</v>
      </c>
      <c r="H208" s="20"/>
      <c r="I208" s="20"/>
      <c r="J208" s="20"/>
      <c r="K208" s="20"/>
    </row>
    <row r="209" spans="1:11" ht="19.5" customHeight="1" x14ac:dyDescent="0.3">
      <c r="A209" s="22">
        <v>46045.616401250001</v>
      </c>
      <c r="B209" s="20">
        <v>20.3</v>
      </c>
      <c r="C209" s="20">
        <v>50</v>
      </c>
      <c r="D209" s="20">
        <v>50.54</v>
      </c>
      <c r="E209" s="20">
        <v>-0.54</v>
      </c>
      <c r="F209" s="20">
        <v>-0.05</v>
      </c>
      <c r="G209" s="20">
        <v>927.7</v>
      </c>
      <c r="H209" s="20"/>
      <c r="I209" s="20"/>
      <c r="J209" s="20"/>
      <c r="K209" s="20"/>
    </row>
    <row r="210" spans="1:11" ht="19.5" customHeight="1" x14ac:dyDescent="0.3">
      <c r="A210" s="22">
        <v>46045.61640244213</v>
      </c>
      <c r="B210" s="20">
        <v>20.399999999999999</v>
      </c>
      <c r="C210" s="20">
        <v>50</v>
      </c>
      <c r="D210" s="20">
        <v>50.52</v>
      </c>
      <c r="E210" s="20">
        <v>-0.52</v>
      </c>
      <c r="F210" s="20">
        <v>0.02</v>
      </c>
      <c r="G210" s="20">
        <v>1018.91</v>
      </c>
      <c r="H210" s="20"/>
      <c r="I210" s="20"/>
      <c r="J210" s="20"/>
      <c r="K210" s="20"/>
    </row>
    <row r="211" spans="1:11" ht="19.5" customHeight="1" x14ac:dyDescent="0.3">
      <c r="A211" s="22">
        <v>46045.616403611108</v>
      </c>
      <c r="B211" s="20">
        <v>20.5</v>
      </c>
      <c r="C211" s="20">
        <v>50</v>
      </c>
      <c r="D211" s="20">
        <v>50.49</v>
      </c>
      <c r="E211" s="20">
        <v>-0.49</v>
      </c>
      <c r="F211" s="20">
        <v>0.02</v>
      </c>
      <c r="G211" s="20">
        <v>1015.07</v>
      </c>
      <c r="H211" s="20"/>
      <c r="I211" s="20"/>
      <c r="J211" s="20"/>
      <c r="K211" s="20"/>
    </row>
    <row r="212" spans="1:11" ht="19.5" customHeight="1" x14ac:dyDescent="0.3">
      <c r="A212" s="22">
        <v>46045.616404756947</v>
      </c>
      <c r="B212" s="20">
        <v>20.6</v>
      </c>
      <c r="C212" s="20">
        <v>50</v>
      </c>
      <c r="D212" s="20">
        <v>50.52</v>
      </c>
      <c r="E212" s="20">
        <v>-0.52</v>
      </c>
      <c r="F212" s="20">
        <v>-0.02</v>
      </c>
      <c r="G212" s="20">
        <v>940.22</v>
      </c>
      <c r="H212" s="20"/>
      <c r="I212" s="20"/>
      <c r="J212" s="20"/>
      <c r="K212" s="20"/>
    </row>
    <row r="213" spans="1:11" ht="19.5" customHeight="1" x14ac:dyDescent="0.3">
      <c r="A213" s="22">
        <v>46045.616405925924</v>
      </c>
      <c r="B213" s="20">
        <v>20.7</v>
      </c>
      <c r="C213" s="20">
        <v>50</v>
      </c>
      <c r="D213" s="20">
        <v>50.49</v>
      </c>
      <c r="E213" s="20">
        <v>-0.49</v>
      </c>
      <c r="F213" s="20">
        <v>0.03</v>
      </c>
      <c r="G213" s="20">
        <v>1038.51</v>
      </c>
      <c r="H213" s="20"/>
      <c r="I213" s="20"/>
      <c r="J213" s="20"/>
      <c r="K213" s="20"/>
    </row>
    <row r="214" spans="1:11" ht="19.5" customHeight="1" x14ac:dyDescent="0.3">
      <c r="A214" s="22">
        <v>46045.616407094909</v>
      </c>
      <c r="B214" s="20">
        <v>20.8</v>
      </c>
      <c r="C214" s="20">
        <v>50</v>
      </c>
      <c r="D214" s="20">
        <v>50.5</v>
      </c>
      <c r="E214" s="20">
        <v>-0.5</v>
      </c>
      <c r="F214" s="20">
        <v>-0.01</v>
      </c>
      <c r="G214" s="20">
        <v>951.43</v>
      </c>
      <c r="H214" s="20"/>
      <c r="I214" s="20"/>
      <c r="J214" s="20"/>
      <c r="K214" s="20"/>
    </row>
    <row r="215" spans="1:11" ht="19.5" customHeight="1" x14ac:dyDescent="0.3">
      <c r="A215" s="22">
        <v>46045.616408240741</v>
      </c>
      <c r="B215" s="20">
        <v>20.9</v>
      </c>
      <c r="C215" s="20">
        <v>50</v>
      </c>
      <c r="D215" s="20">
        <v>50.47</v>
      </c>
      <c r="E215" s="20">
        <v>-0.47</v>
      </c>
      <c r="F215" s="20">
        <v>0.03</v>
      </c>
      <c r="G215" s="20">
        <v>1056.06</v>
      </c>
      <c r="H215" s="20"/>
      <c r="I215" s="20"/>
      <c r="J215" s="20"/>
      <c r="K215" s="20"/>
    </row>
    <row r="216" spans="1:11" ht="19.5" customHeight="1" x14ac:dyDescent="0.3">
      <c r="A216" s="22">
        <v>46045.616409386574</v>
      </c>
      <c r="B216" s="20">
        <v>21</v>
      </c>
      <c r="C216" s="20">
        <v>50</v>
      </c>
      <c r="D216" s="20">
        <v>50.49</v>
      </c>
      <c r="E216" s="20">
        <v>-0.49</v>
      </c>
      <c r="F216" s="20">
        <v>-0.03</v>
      </c>
      <c r="G216" s="20">
        <v>953.56</v>
      </c>
      <c r="H216" s="20"/>
      <c r="I216" s="20"/>
      <c r="J216" s="20"/>
      <c r="K216" s="20"/>
    </row>
    <row r="217" spans="1:11" ht="19.5" customHeight="1" x14ac:dyDescent="0.3">
      <c r="A217" s="22">
        <v>46045.616410543982</v>
      </c>
      <c r="B217" s="20">
        <v>21.1</v>
      </c>
      <c r="C217" s="20">
        <v>50</v>
      </c>
      <c r="D217" s="20">
        <v>50.43</v>
      </c>
      <c r="E217" s="20">
        <v>-0.43</v>
      </c>
      <c r="F217" s="20">
        <v>7.0000000000000007E-2</v>
      </c>
      <c r="G217" s="20">
        <v>1140.8499999999999</v>
      </c>
      <c r="H217" s="20"/>
      <c r="I217" s="20"/>
      <c r="J217" s="20"/>
      <c r="K217" s="20"/>
    </row>
    <row r="218" spans="1:11" ht="19.5" customHeight="1" x14ac:dyDescent="0.3">
      <c r="A218" s="22">
        <v>46045.61641170139</v>
      </c>
      <c r="B218" s="20">
        <v>21.2</v>
      </c>
      <c r="C218" s="20">
        <v>50</v>
      </c>
      <c r="D218" s="20">
        <v>50.43</v>
      </c>
      <c r="E218" s="20">
        <v>-0.43</v>
      </c>
      <c r="F218" s="20">
        <v>-0.01</v>
      </c>
      <c r="G218" s="20">
        <v>981.28</v>
      </c>
      <c r="H218" s="20"/>
      <c r="I218" s="20"/>
      <c r="J218" s="20"/>
      <c r="K218" s="20"/>
    </row>
    <row r="219" spans="1:11" ht="19.5" customHeight="1" x14ac:dyDescent="0.3">
      <c r="A219" s="22">
        <v>46045.616412905096</v>
      </c>
      <c r="B219" s="20">
        <v>21.3</v>
      </c>
      <c r="C219" s="20">
        <v>50</v>
      </c>
      <c r="D219" s="20">
        <v>50.45</v>
      </c>
      <c r="E219" s="20">
        <v>-0.45</v>
      </c>
      <c r="F219" s="20">
        <v>-0.01</v>
      </c>
      <c r="G219" s="20">
        <v>976.27</v>
      </c>
      <c r="H219" s="20"/>
      <c r="I219" s="20"/>
      <c r="J219" s="20"/>
      <c r="K219" s="20"/>
    </row>
    <row r="220" spans="1:11" ht="19.5" customHeight="1" x14ac:dyDescent="0.3">
      <c r="A220" s="22">
        <v>46045.616414016207</v>
      </c>
      <c r="B220" s="20">
        <v>21.4</v>
      </c>
      <c r="C220" s="20">
        <v>50</v>
      </c>
      <c r="D220" s="20">
        <v>50.45</v>
      </c>
      <c r="E220" s="20">
        <v>-0.45</v>
      </c>
      <c r="F220" s="20">
        <v>-0.01</v>
      </c>
      <c r="G220" s="20">
        <v>972.78</v>
      </c>
      <c r="H220" s="20"/>
      <c r="I220" s="20"/>
      <c r="J220" s="20"/>
      <c r="K220" s="20"/>
    </row>
    <row r="221" spans="1:11" ht="19.5" customHeight="1" x14ac:dyDescent="0.3">
      <c r="A221" s="22">
        <v>46045.616415185184</v>
      </c>
      <c r="B221" s="20">
        <v>21.5</v>
      </c>
      <c r="C221" s="20">
        <v>50</v>
      </c>
      <c r="D221" s="20">
        <v>50.48</v>
      </c>
      <c r="E221" s="20">
        <v>-0.48</v>
      </c>
      <c r="F221" s="20">
        <v>-0.02</v>
      </c>
      <c r="G221" s="20">
        <v>961.68</v>
      </c>
      <c r="H221" s="20"/>
      <c r="I221" s="20"/>
      <c r="J221" s="20"/>
      <c r="K221" s="20"/>
    </row>
    <row r="222" spans="1:11" ht="19.5" customHeight="1" x14ac:dyDescent="0.3">
      <c r="A222" s="22">
        <v>46045.616416342593</v>
      </c>
      <c r="B222" s="20">
        <v>21.6</v>
      </c>
      <c r="C222" s="20">
        <v>50</v>
      </c>
      <c r="D222" s="20">
        <v>50.49</v>
      </c>
      <c r="E222" s="20">
        <v>-0.49</v>
      </c>
      <c r="F222" s="20">
        <v>-0.01</v>
      </c>
      <c r="G222" s="20">
        <v>957.7</v>
      </c>
      <c r="H222" s="20"/>
      <c r="I222" s="20"/>
      <c r="J222" s="20"/>
      <c r="K222" s="20"/>
    </row>
    <row r="223" spans="1:11" ht="19.5" customHeight="1" x14ac:dyDescent="0.3">
      <c r="A223" s="22">
        <v>46045.616417500001</v>
      </c>
      <c r="B223" s="20">
        <v>21.7</v>
      </c>
      <c r="C223" s="20">
        <v>50</v>
      </c>
      <c r="D223" s="20">
        <v>50.45</v>
      </c>
      <c r="E223" s="20">
        <v>-0.45</v>
      </c>
      <c r="F223" s="20">
        <v>0.04</v>
      </c>
      <c r="G223" s="20">
        <v>1080.0899999999999</v>
      </c>
      <c r="H223" s="20"/>
      <c r="I223" s="20"/>
      <c r="J223" s="20"/>
      <c r="K223" s="20"/>
    </row>
    <row r="224" spans="1:11" ht="19.5" customHeight="1" x14ac:dyDescent="0.3">
      <c r="A224" s="22">
        <v>46045.616418645834</v>
      </c>
      <c r="B224" s="20">
        <v>21.8</v>
      </c>
      <c r="C224" s="20">
        <v>50</v>
      </c>
      <c r="D224" s="20">
        <v>50.45</v>
      </c>
      <c r="E224" s="20">
        <v>-0.45</v>
      </c>
      <c r="F224" s="20">
        <v>0</v>
      </c>
      <c r="G224" s="20">
        <v>974.54</v>
      </c>
      <c r="H224" s="20"/>
      <c r="I224" s="20"/>
      <c r="J224" s="20"/>
      <c r="K224" s="20"/>
    </row>
    <row r="225" spans="1:11" ht="19.5" customHeight="1" x14ac:dyDescent="0.3">
      <c r="A225" s="22">
        <v>46045.616419849539</v>
      </c>
      <c r="B225" s="20">
        <v>21.9</v>
      </c>
      <c r="C225" s="20">
        <v>50</v>
      </c>
      <c r="D225" s="20">
        <v>50.44</v>
      </c>
      <c r="E225" s="20">
        <v>-0.44</v>
      </c>
      <c r="F225" s="20">
        <v>0.01</v>
      </c>
      <c r="G225" s="20">
        <v>1000.89</v>
      </c>
      <c r="H225" s="20"/>
      <c r="I225" s="20"/>
      <c r="J225" s="20"/>
      <c r="K225" s="20"/>
    </row>
    <row r="226" spans="1:11" ht="19.5" customHeight="1" x14ac:dyDescent="0.3">
      <c r="A226" s="22">
        <v>46045.61642096065</v>
      </c>
      <c r="B226" s="20">
        <v>22</v>
      </c>
      <c r="C226" s="20">
        <v>50</v>
      </c>
      <c r="D226" s="20">
        <v>50.44</v>
      </c>
      <c r="E226" s="20">
        <v>-0.44</v>
      </c>
      <c r="F226" s="20">
        <v>0</v>
      </c>
      <c r="G226" s="20">
        <v>977.96</v>
      </c>
      <c r="H226" s="20"/>
      <c r="I226" s="20"/>
      <c r="J226" s="20"/>
      <c r="K226" s="20"/>
    </row>
    <row r="227" spans="1:11" ht="19.5" customHeight="1" x14ac:dyDescent="0.3">
      <c r="A227" s="22">
        <v>46045.616422141204</v>
      </c>
      <c r="B227" s="25" t="s">
        <v>57</v>
      </c>
      <c r="C227" s="20">
        <v>-0.43</v>
      </c>
      <c r="D227" s="20">
        <v>0.02</v>
      </c>
      <c r="E227" s="20">
        <v>1027.81</v>
      </c>
      <c r="F227" s="20"/>
      <c r="G227" s="20"/>
      <c r="H227" s="20"/>
      <c r="I227" s="20"/>
      <c r="J227" s="20"/>
      <c r="K227" s="20"/>
    </row>
    <row r="228" spans="1:11" ht="19.5" customHeight="1" x14ac:dyDescent="0.3">
      <c r="A228" s="22">
        <v>46045.616423287036</v>
      </c>
      <c r="B228" s="25">
        <v>22.2</v>
      </c>
      <c r="C228" s="20">
        <v>50</v>
      </c>
      <c r="D228" s="20">
        <v>50.4</v>
      </c>
      <c r="E228" s="20">
        <v>-0.4</v>
      </c>
      <c r="F228" s="20">
        <v>0.03</v>
      </c>
      <c r="G228" s="20">
        <v>1064.5899999999999</v>
      </c>
      <c r="H228" s="20"/>
      <c r="I228" s="20"/>
      <c r="J228" s="20"/>
      <c r="K228" s="20"/>
    </row>
    <row r="229" spans="1:11" ht="19.5" customHeight="1" x14ac:dyDescent="0.3">
      <c r="A229" s="22">
        <v>46045.616424444444</v>
      </c>
      <c r="B229" s="20">
        <v>22.3</v>
      </c>
      <c r="C229" s="20">
        <v>50</v>
      </c>
      <c r="D229" s="20">
        <v>50.43</v>
      </c>
      <c r="E229" s="20">
        <v>-0.43</v>
      </c>
      <c r="F229" s="20">
        <v>-0.04</v>
      </c>
      <c r="G229" s="20">
        <v>981.28</v>
      </c>
      <c r="H229" s="20"/>
      <c r="I229" s="20"/>
      <c r="J229" s="20"/>
      <c r="K229" s="20"/>
    </row>
    <row r="230" spans="1:11" ht="19.5" customHeight="1" x14ac:dyDescent="0.3">
      <c r="A230" s="22">
        <v>46045.616425613429</v>
      </c>
      <c r="B230" s="25">
        <v>22.4</v>
      </c>
      <c r="C230" s="20">
        <v>50</v>
      </c>
      <c r="D230" s="20">
        <v>50.45</v>
      </c>
      <c r="E230" s="20">
        <v>-0.45</v>
      </c>
      <c r="F230" s="20">
        <v>-0.01</v>
      </c>
      <c r="G230" s="20">
        <v>976.27</v>
      </c>
      <c r="H230" s="20"/>
      <c r="I230" s="20"/>
      <c r="J230" s="20"/>
      <c r="K230" s="20"/>
    </row>
    <row r="231" spans="1:11" ht="19.5" customHeight="1" x14ac:dyDescent="0.3">
      <c r="A231" s="22">
        <v>46045.616426759261</v>
      </c>
      <c r="B231" s="25">
        <v>22.5</v>
      </c>
      <c r="C231" s="20">
        <v>50</v>
      </c>
      <c r="D231" s="20">
        <v>50.44</v>
      </c>
      <c r="E231" s="20">
        <v>-0.44</v>
      </c>
      <c r="F231" s="20">
        <v>0</v>
      </c>
      <c r="G231" s="20">
        <v>989.56</v>
      </c>
      <c r="H231" s="20"/>
      <c r="I231" s="20"/>
      <c r="J231" s="20"/>
      <c r="K231" s="20"/>
    </row>
    <row r="232" spans="1:11" ht="19.5" customHeight="1" x14ac:dyDescent="0.3">
      <c r="A232" s="22">
        <v>46045.616427928238</v>
      </c>
      <c r="B232" s="20">
        <v>22.6</v>
      </c>
      <c r="C232" s="20">
        <v>50</v>
      </c>
      <c r="D232" s="20">
        <v>50.43</v>
      </c>
      <c r="E232" s="20">
        <v>-0.43</v>
      </c>
      <c r="F232" s="20">
        <v>0.01</v>
      </c>
      <c r="G232" s="20">
        <v>1003.85</v>
      </c>
      <c r="H232" s="20"/>
      <c r="I232" s="20"/>
      <c r="J232" s="20"/>
      <c r="K232" s="20"/>
    </row>
    <row r="233" spans="1:11" ht="19.5" customHeight="1" x14ac:dyDescent="0.3">
      <c r="A233" s="22">
        <v>46045.616429062502</v>
      </c>
      <c r="B233" s="25">
        <v>22.7</v>
      </c>
      <c r="C233" s="20">
        <v>50</v>
      </c>
      <c r="D233" s="20">
        <v>50.47</v>
      </c>
      <c r="E233" s="20">
        <v>-0.47</v>
      </c>
      <c r="F233" s="20">
        <v>-0.04</v>
      </c>
      <c r="G233" s="20">
        <v>965.51</v>
      </c>
      <c r="H233" s="20"/>
      <c r="I233" s="20"/>
      <c r="J233" s="20"/>
      <c r="K233" s="20"/>
    </row>
    <row r="234" spans="1:11" ht="19.5" customHeight="1" x14ac:dyDescent="0.3">
      <c r="A234" s="22">
        <v>46045.61643021991</v>
      </c>
      <c r="B234" s="20">
        <v>22.8</v>
      </c>
      <c r="C234" s="20">
        <v>50</v>
      </c>
      <c r="D234" s="20">
        <v>50.47</v>
      </c>
      <c r="E234" s="20">
        <v>-0.47</v>
      </c>
      <c r="F234" s="20">
        <v>0</v>
      </c>
      <c r="G234" s="20">
        <v>963.6</v>
      </c>
      <c r="H234" s="20"/>
      <c r="I234" s="20"/>
      <c r="J234" s="20"/>
      <c r="K234" s="20"/>
    </row>
    <row r="235" spans="1:11" ht="19.5" customHeight="1" x14ac:dyDescent="0.3">
      <c r="A235" s="22">
        <v>46045.61643141204</v>
      </c>
      <c r="B235" s="25">
        <v>22.9</v>
      </c>
      <c r="C235" s="20">
        <v>50</v>
      </c>
      <c r="D235" s="20">
        <v>50.44</v>
      </c>
      <c r="E235" s="20">
        <v>-0.44</v>
      </c>
      <c r="F235" s="20">
        <v>0.04</v>
      </c>
      <c r="G235" s="20">
        <v>1072.93</v>
      </c>
      <c r="H235" s="20"/>
      <c r="I235" s="20"/>
      <c r="J235" s="20"/>
      <c r="K235" s="20"/>
    </row>
    <row r="236" spans="1:11" ht="19.5" customHeight="1" x14ac:dyDescent="0.3">
      <c r="A236" s="22">
        <v>46045.61643253472</v>
      </c>
      <c r="B236" s="25">
        <v>23</v>
      </c>
      <c r="C236" s="20">
        <v>50</v>
      </c>
      <c r="D236" s="20">
        <v>50.44</v>
      </c>
      <c r="E236" s="20">
        <v>-0.44</v>
      </c>
      <c r="F236" s="20">
        <v>0</v>
      </c>
      <c r="G236" s="20">
        <v>979.64</v>
      </c>
      <c r="H236" s="20"/>
      <c r="I236" s="20"/>
      <c r="J236" s="20"/>
      <c r="K236" s="20"/>
    </row>
    <row r="237" spans="1:11" ht="19.5" customHeight="1" x14ac:dyDescent="0.3">
      <c r="A237" s="22">
        <v>46045.616433692128</v>
      </c>
      <c r="B237" s="20">
        <v>23.1</v>
      </c>
      <c r="C237" s="20">
        <v>50</v>
      </c>
      <c r="D237" s="20">
        <v>50.47</v>
      </c>
      <c r="E237" s="20">
        <v>-0.47</v>
      </c>
      <c r="F237" s="20">
        <v>-0.03</v>
      </c>
      <c r="G237" s="20">
        <v>965.51</v>
      </c>
      <c r="H237" s="20"/>
      <c r="I237" s="20"/>
      <c r="J237" s="20"/>
      <c r="K237" s="20"/>
    </row>
    <row r="238" spans="1:11" ht="19.5" customHeight="1" x14ac:dyDescent="0.3">
      <c r="A238" s="22">
        <v>46045.616434861113</v>
      </c>
      <c r="B238" s="25">
        <v>23.2</v>
      </c>
      <c r="C238" s="20">
        <v>50</v>
      </c>
      <c r="D238" s="20">
        <v>50.46</v>
      </c>
      <c r="E238" s="20">
        <v>-0.46</v>
      </c>
      <c r="F238" s="20">
        <v>0.01</v>
      </c>
      <c r="G238" s="20">
        <v>1006.04</v>
      </c>
      <c r="H238" s="20"/>
      <c r="I238" s="20"/>
      <c r="J238" s="20"/>
      <c r="K238" s="20"/>
    </row>
    <row r="239" spans="1:11" ht="19.5" customHeight="1" x14ac:dyDescent="0.3">
      <c r="A239" s="22">
        <v>46045.616436018521</v>
      </c>
      <c r="B239" s="20">
        <v>23.3</v>
      </c>
      <c r="C239" s="20">
        <v>50</v>
      </c>
      <c r="D239" s="20">
        <v>50.43</v>
      </c>
      <c r="E239" s="20">
        <v>-0.43</v>
      </c>
      <c r="F239" s="20">
        <v>0.03</v>
      </c>
      <c r="G239" s="20">
        <v>1056.28</v>
      </c>
      <c r="H239" s="20"/>
      <c r="I239" s="20"/>
      <c r="J239" s="20"/>
      <c r="K239" s="20"/>
    </row>
    <row r="240" spans="1:11" ht="19.5" customHeight="1" x14ac:dyDescent="0.3">
      <c r="A240" s="22">
        <v>46045.616437175922</v>
      </c>
      <c r="B240" s="25">
        <v>23.4</v>
      </c>
      <c r="C240" s="20">
        <v>50</v>
      </c>
      <c r="D240" s="20">
        <v>50.45</v>
      </c>
      <c r="E240" s="20">
        <v>-0.45</v>
      </c>
      <c r="F240" s="20">
        <v>-0.02</v>
      </c>
      <c r="G240" s="20">
        <v>972.78</v>
      </c>
      <c r="H240" s="20"/>
      <c r="I240" s="20"/>
      <c r="J240" s="20"/>
      <c r="K240" s="20"/>
    </row>
    <row r="241" spans="1:11" ht="19.5" customHeight="1" x14ac:dyDescent="0.3">
      <c r="A241" s="22">
        <v>46045.616438333331</v>
      </c>
      <c r="B241" s="25">
        <v>23.5</v>
      </c>
      <c r="C241" s="20">
        <v>50</v>
      </c>
      <c r="D241" s="20">
        <v>50.42</v>
      </c>
      <c r="E241" s="20">
        <v>-0.42</v>
      </c>
      <c r="F241" s="20">
        <v>0.03</v>
      </c>
      <c r="G241" s="20">
        <v>1067.69</v>
      </c>
      <c r="H241" s="20"/>
      <c r="I241" s="20"/>
      <c r="J241" s="20"/>
      <c r="K241" s="20"/>
    </row>
    <row r="242" spans="1:11" ht="19.5" customHeight="1" x14ac:dyDescent="0.3">
      <c r="A242" s="22">
        <v>46045.616439490739</v>
      </c>
      <c r="B242" s="20">
        <v>23.6</v>
      </c>
      <c r="C242" s="20">
        <v>50</v>
      </c>
      <c r="D242" s="20">
        <v>50.42</v>
      </c>
      <c r="E242" s="20">
        <v>-0.42</v>
      </c>
      <c r="F242" s="20">
        <v>0</v>
      </c>
      <c r="G242" s="20">
        <v>986.05</v>
      </c>
      <c r="H242" s="20"/>
      <c r="I242" s="20"/>
      <c r="J242" s="20"/>
      <c r="K242" s="20"/>
    </row>
    <row r="243" spans="1:11" ht="19.5" customHeight="1" x14ac:dyDescent="0.3">
      <c r="A243" s="22">
        <v>46045.616440625003</v>
      </c>
      <c r="B243" s="25">
        <v>23.7</v>
      </c>
      <c r="C243" s="20">
        <v>50</v>
      </c>
      <c r="D243" s="20">
        <v>50.42</v>
      </c>
      <c r="E243" s="20">
        <v>-0.42</v>
      </c>
      <c r="F243" s="20">
        <v>0</v>
      </c>
      <c r="G243" s="20">
        <v>986.05</v>
      </c>
      <c r="H243" s="20"/>
      <c r="I243" s="20"/>
      <c r="J243" s="20"/>
      <c r="K243" s="20"/>
    </row>
    <row r="244" spans="1:11" ht="19.5" customHeight="1" x14ac:dyDescent="0.3">
      <c r="A244" s="22">
        <v>46045.616441805556</v>
      </c>
      <c r="B244" s="20">
        <v>23.8</v>
      </c>
      <c r="C244" s="20">
        <v>50</v>
      </c>
      <c r="D244" s="20">
        <v>50.44</v>
      </c>
      <c r="E244" s="20">
        <v>-0.44</v>
      </c>
      <c r="F244" s="20">
        <v>-0.02</v>
      </c>
      <c r="G244" s="20">
        <v>977.96</v>
      </c>
      <c r="H244" s="20"/>
      <c r="I244" s="20"/>
      <c r="J244" s="20"/>
      <c r="K244" s="20"/>
    </row>
    <row r="245" spans="1:11" ht="19.5" customHeight="1" x14ac:dyDescent="0.3">
      <c r="A245" s="22">
        <v>46045.616442962964</v>
      </c>
      <c r="B245" s="25">
        <v>23.9</v>
      </c>
      <c r="C245" s="20">
        <v>50</v>
      </c>
      <c r="D245" s="20">
        <v>50.42</v>
      </c>
      <c r="E245" s="20">
        <v>-0.42</v>
      </c>
      <c r="F245" s="20">
        <v>0.02</v>
      </c>
      <c r="G245" s="20">
        <v>1050</v>
      </c>
      <c r="H245" s="20"/>
      <c r="I245" s="20"/>
      <c r="J245" s="20"/>
      <c r="K245" s="20"/>
    </row>
    <row r="246" spans="1:11" ht="19.5" customHeight="1" x14ac:dyDescent="0.3">
      <c r="A246" s="22">
        <v>46045.616444155094</v>
      </c>
      <c r="B246" s="20">
        <v>24</v>
      </c>
      <c r="C246" s="20">
        <v>50</v>
      </c>
      <c r="D246" s="20">
        <v>50.47</v>
      </c>
      <c r="E246" s="20">
        <v>-0.47</v>
      </c>
      <c r="F246" s="20">
        <v>-0.05</v>
      </c>
      <c r="G246" s="20">
        <v>965.51</v>
      </c>
      <c r="H246" s="20"/>
      <c r="I246" s="20"/>
      <c r="J246" s="20"/>
      <c r="K246" s="20"/>
    </row>
    <row r="247" spans="1:11" ht="19.5" customHeight="1" x14ac:dyDescent="0.3">
      <c r="A247" s="22">
        <v>46045.616445277781</v>
      </c>
      <c r="B247" s="25">
        <v>24.1</v>
      </c>
      <c r="C247" s="20">
        <v>50</v>
      </c>
      <c r="D247" s="20">
        <v>50.46</v>
      </c>
      <c r="E247" s="20">
        <v>-0.46</v>
      </c>
      <c r="F247" s="20">
        <v>0.01</v>
      </c>
      <c r="G247" s="20">
        <v>993.08</v>
      </c>
      <c r="H247" s="20"/>
      <c r="I247" s="20"/>
      <c r="J247" s="20"/>
      <c r="K247" s="20"/>
    </row>
    <row r="248" spans="1:11" ht="19.5" customHeight="1" x14ac:dyDescent="0.3">
      <c r="A248" s="22">
        <v>46045.616446446758</v>
      </c>
      <c r="B248" s="25">
        <v>24.2</v>
      </c>
      <c r="C248" s="20">
        <v>50</v>
      </c>
      <c r="D248" s="20">
        <v>50.41</v>
      </c>
      <c r="E248" s="20">
        <v>-0.41</v>
      </c>
      <c r="F248" s="20">
        <v>0.05</v>
      </c>
      <c r="G248" s="20">
        <v>1112.8900000000001</v>
      </c>
      <c r="H248" s="20"/>
      <c r="I248" s="20"/>
      <c r="J248" s="20"/>
      <c r="K248" s="20"/>
    </row>
    <row r="249" spans="1:11" ht="19.5" customHeight="1" x14ac:dyDescent="0.3">
      <c r="A249" s="22">
        <v>46045.616447592591</v>
      </c>
      <c r="B249" s="20">
        <v>24.3</v>
      </c>
      <c r="C249" s="20">
        <v>50</v>
      </c>
      <c r="D249" s="20">
        <v>50.46</v>
      </c>
      <c r="E249" s="20">
        <v>-0.46</v>
      </c>
      <c r="F249" s="20">
        <v>-0.05</v>
      </c>
      <c r="G249" s="20">
        <v>970.99</v>
      </c>
      <c r="H249" s="20"/>
      <c r="I249" s="20"/>
      <c r="J249" s="20"/>
      <c r="K249" s="20"/>
    </row>
    <row r="250" spans="1:11" ht="19.5" customHeight="1" x14ac:dyDescent="0.3">
      <c r="A250" s="22">
        <v>46045.616448749999</v>
      </c>
      <c r="B250" s="25">
        <v>24.4</v>
      </c>
      <c r="C250" s="20">
        <v>50</v>
      </c>
      <c r="D250" s="20">
        <v>50.46</v>
      </c>
      <c r="E250" s="20">
        <v>-0.46</v>
      </c>
      <c r="F250" s="20">
        <v>0</v>
      </c>
      <c r="G250" s="20">
        <v>969.19</v>
      </c>
      <c r="H250" s="20"/>
      <c r="I250" s="20"/>
      <c r="J250" s="20"/>
      <c r="K250" s="20"/>
    </row>
    <row r="251" spans="1:11" ht="19.5" customHeight="1" x14ac:dyDescent="0.3">
      <c r="A251" s="22">
        <v>46045.616449895831</v>
      </c>
      <c r="B251" s="20">
        <v>24.5</v>
      </c>
      <c r="C251" s="20">
        <v>50</v>
      </c>
      <c r="D251" s="20">
        <v>50.47</v>
      </c>
      <c r="E251" s="20">
        <v>-0.47</v>
      </c>
      <c r="F251" s="20">
        <v>-0.01</v>
      </c>
      <c r="G251" s="20">
        <v>965.51</v>
      </c>
      <c r="H251" s="20"/>
      <c r="I251" s="20"/>
      <c r="J251" s="20"/>
      <c r="K251" s="20"/>
    </row>
    <row r="252" spans="1:11" ht="19.5" customHeight="1" x14ac:dyDescent="0.3">
      <c r="A252" s="22">
        <v>46045.616451087961</v>
      </c>
      <c r="B252" s="25">
        <v>24.6</v>
      </c>
      <c r="C252" s="20">
        <v>50</v>
      </c>
      <c r="D252" s="20">
        <v>50.44</v>
      </c>
      <c r="E252" s="20">
        <v>-0.44</v>
      </c>
      <c r="F252" s="20">
        <v>0.03</v>
      </c>
      <c r="G252" s="20">
        <v>1052.97</v>
      </c>
      <c r="H252" s="20"/>
      <c r="I252" s="20"/>
      <c r="J252" s="20"/>
      <c r="K252" s="20"/>
    </row>
    <row r="253" spans="1:11" ht="19.5" customHeight="1" x14ac:dyDescent="0.3">
      <c r="A253" s="22">
        <v>46045.616452222224</v>
      </c>
      <c r="B253" s="25">
        <v>24.7</v>
      </c>
      <c r="C253" s="20">
        <v>50</v>
      </c>
      <c r="D253" s="20">
        <v>50.47</v>
      </c>
      <c r="E253" s="20">
        <v>-0.47</v>
      </c>
      <c r="F253" s="20">
        <v>-0.02</v>
      </c>
      <c r="G253" s="20">
        <v>967.36</v>
      </c>
      <c r="H253" s="20"/>
      <c r="I253" s="20"/>
      <c r="J253" s="20"/>
      <c r="K253" s="20"/>
    </row>
    <row r="254" spans="1:11" ht="19.5" customHeight="1" x14ac:dyDescent="0.3">
      <c r="A254" s="22">
        <v>46045.616453368057</v>
      </c>
      <c r="B254" s="20">
        <v>24.8</v>
      </c>
      <c r="C254" s="20">
        <v>50</v>
      </c>
      <c r="D254" s="20">
        <v>50.42</v>
      </c>
      <c r="E254" s="20">
        <v>-0.42</v>
      </c>
      <c r="F254" s="20">
        <v>0.04</v>
      </c>
      <c r="G254" s="20">
        <v>1094.1300000000001</v>
      </c>
      <c r="H254" s="20"/>
      <c r="I254" s="20"/>
      <c r="J254" s="20"/>
      <c r="K254" s="20"/>
    </row>
    <row r="255" spans="1:11" ht="19.5" customHeight="1" x14ac:dyDescent="0.3">
      <c r="A255" s="22">
        <v>46045.616454537034</v>
      </c>
      <c r="B255" s="25">
        <v>24.9</v>
      </c>
      <c r="C255" s="20">
        <v>50</v>
      </c>
      <c r="D255" s="20">
        <v>50.44</v>
      </c>
      <c r="E255" s="20">
        <v>-0.44</v>
      </c>
      <c r="F255" s="20">
        <v>-0.02</v>
      </c>
      <c r="G255" s="20">
        <v>979.64</v>
      </c>
      <c r="H255" s="20"/>
      <c r="I255" s="20"/>
      <c r="J255" s="20"/>
      <c r="K255" s="20"/>
    </row>
    <row r="256" spans="1:11" ht="19.5" customHeight="1" x14ac:dyDescent="0.3">
      <c r="A256" s="22">
        <v>46045.616455729163</v>
      </c>
      <c r="B256" s="20">
        <v>25</v>
      </c>
      <c r="C256" s="20">
        <v>50</v>
      </c>
      <c r="D256" s="20">
        <v>50.45</v>
      </c>
      <c r="E256" s="20">
        <v>-0.45</v>
      </c>
      <c r="F256" s="20">
        <v>-0.02</v>
      </c>
      <c r="G256" s="20">
        <v>972.78</v>
      </c>
      <c r="H256" s="20"/>
      <c r="I256" s="20"/>
      <c r="J256" s="20"/>
      <c r="K256" s="20"/>
    </row>
    <row r="257" spans="1:11" ht="19.5" customHeight="1" x14ac:dyDescent="0.3">
      <c r="A257" s="22">
        <v>46045.616456875003</v>
      </c>
      <c r="B257" s="25">
        <v>25.1</v>
      </c>
      <c r="C257" s="20">
        <v>50</v>
      </c>
      <c r="D257" s="20">
        <v>50.47</v>
      </c>
      <c r="E257" s="20">
        <v>-0.47</v>
      </c>
      <c r="F257" s="20">
        <v>-0.01</v>
      </c>
      <c r="G257" s="20">
        <v>967.36</v>
      </c>
      <c r="H257" s="20"/>
      <c r="I257" s="20"/>
      <c r="J257" s="20"/>
      <c r="K257" s="20"/>
    </row>
    <row r="258" spans="1:11" ht="19.5" customHeight="1" x14ac:dyDescent="0.3">
      <c r="A258" s="22">
        <v>46045.616457997683</v>
      </c>
      <c r="B258" s="25">
        <v>25.2</v>
      </c>
      <c r="C258" s="20">
        <v>50</v>
      </c>
      <c r="D258" s="20">
        <v>50.47</v>
      </c>
      <c r="E258" s="20">
        <v>-0.47</v>
      </c>
      <c r="F258" s="20">
        <v>0</v>
      </c>
      <c r="G258" s="20">
        <v>967.36</v>
      </c>
      <c r="H258" s="20"/>
      <c r="I258" s="20"/>
      <c r="J258" s="20"/>
      <c r="K258" s="20"/>
    </row>
    <row r="259" spans="1:11" ht="19.5" customHeight="1" x14ac:dyDescent="0.3">
      <c r="A259" s="22">
        <v>46045.616459201388</v>
      </c>
      <c r="B259" s="20">
        <v>25.3</v>
      </c>
      <c r="C259" s="20">
        <v>50</v>
      </c>
      <c r="D259" s="20">
        <v>50.45</v>
      </c>
      <c r="E259" s="20">
        <v>-0.45</v>
      </c>
      <c r="F259" s="20">
        <v>0.01</v>
      </c>
      <c r="G259" s="20">
        <v>1007.54</v>
      </c>
      <c r="H259" s="20"/>
      <c r="I259" s="20"/>
      <c r="J259" s="20"/>
      <c r="K259" s="20"/>
    </row>
    <row r="260" spans="1:11" ht="19.5" customHeight="1" x14ac:dyDescent="0.3">
      <c r="A260" s="22">
        <v>46045.616460324076</v>
      </c>
      <c r="B260" s="25">
        <v>25.4</v>
      </c>
      <c r="C260" s="20">
        <v>50</v>
      </c>
      <c r="D260" s="20">
        <v>50.45</v>
      </c>
      <c r="E260" s="20">
        <v>-0.45</v>
      </c>
      <c r="F260" s="20">
        <v>0</v>
      </c>
      <c r="G260" s="20">
        <v>972.78</v>
      </c>
      <c r="H260" s="20"/>
      <c r="I260" s="20"/>
      <c r="J260" s="20"/>
      <c r="K260" s="20"/>
    </row>
    <row r="261" spans="1:11" ht="19.5" customHeight="1" x14ac:dyDescent="0.3">
      <c r="A261" s="22">
        <v>46045.616461481484</v>
      </c>
      <c r="B261" s="20">
        <v>25.5</v>
      </c>
      <c r="C261" s="20">
        <v>50</v>
      </c>
      <c r="D261" s="20">
        <v>50.43</v>
      </c>
      <c r="E261" s="20">
        <v>-0.43</v>
      </c>
      <c r="F261" s="20">
        <v>0.02</v>
      </c>
      <c r="G261" s="20">
        <v>1035.49</v>
      </c>
      <c r="H261" s="20"/>
      <c r="I261" s="20"/>
      <c r="J261" s="20"/>
      <c r="K261" s="20"/>
    </row>
    <row r="262" spans="1:11" ht="19.5" customHeight="1" x14ac:dyDescent="0.3">
      <c r="A262" s="22">
        <v>46045.616462638885</v>
      </c>
      <c r="B262" s="25">
        <v>25.6</v>
      </c>
      <c r="C262" s="20">
        <v>50</v>
      </c>
      <c r="D262" s="20">
        <v>50.43</v>
      </c>
      <c r="E262" s="20">
        <v>-0.43</v>
      </c>
      <c r="F262" s="20">
        <v>0</v>
      </c>
      <c r="G262" s="20">
        <v>994.28</v>
      </c>
      <c r="H262" s="20"/>
      <c r="I262" s="20"/>
      <c r="J262" s="20"/>
      <c r="K262" s="20"/>
    </row>
    <row r="263" spans="1:11" ht="19.5" customHeight="1" x14ac:dyDescent="0.3">
      <c r="A263" s="22">
        <v>46045.616463784725</v>
      </c>
      <c r="B263" s="20">
        <v>25.7</v>
      </c>
      <c r="C263" s="20">
        <v>50</v>
      </c>
      <c r="D263" s="20">
        <v>50.45</v>
      </c>
      <c r="E263" s="20">
        <v>-0.45</v>
      </c>
      <c r="F263" s="20">
        <v>-0.02</v>
      </c>
      <c r="G263" s="20">
        <v>974.54</v>
      </c>
      <c r="H263" s="20"/>
      <c r="I263" s="20"/>
      <c r="J263" s="20"/>
      <c r="K263" s="20"/>
    </row>
    <row r="264" spans="1:11" ht="19.5" customHeight="1" x14ac:dyDescent="0.3">
      <c r="A264" s="22">
        <v>46045.616464953702</v>
      </c>
      <c r="B264" s="25">
        <v>25.8</v>
      </c>
      <c r="C264" s="20">
        <v>50</v>
      </c>
      <c r="D264" s="20">
        <v>50.46</v>
      </c>
      <c r="E264" s="20">
        <v>-0.46</v>
      </c>
      <c r="F264" s="20">
        <v>-0.01</v>
      </c>
      <c r="G264" s="20">
        <v>969.19</v>
      </c>
      <c r="H264" s="20"/>
      <c r="I264" s="20"/>
      <c r="J264" s="20"/>
      <c r="K264" s="20"/>
    </row>
    <row r="265" spans="1:11" ht="19.5" customHeight="1" x14ac:dyDescent="0.3">
      <c r="A265" s="22">
        <v>46045.616466122687</v>
      </c>
      <c r="B265" s="25">
        <v>25.9</v>
      </c>
      <c r="C265" s="20">
        <v>50</v>
      </c>
      <c r="D265" s="20">
        <v>50.43</v>
      </c>
      <c r="E265" s="20">
        <v>-0.43</v>
      </c>
      <c r="F265" s="20">
        <v>0.03</v>
      </c>
      <c r="G265" s="20">
        <v>1065.69</v>
      </c>
      <c r="H265" s="20"/>
      <c r="I265" s="20"/>
      <c r="J265" s="20"/>
      <c r="K265" s="20"/>
    </row>
    <row r="266" spans="1:11" ht="19.5" customHeight="1" x14ac:dyDescent="0.3">
      <c r="A266" s="22">
        <v>46045.616467280095</v>
      </c>
      <c r="B266" s="20">
        <v>26</v>
      </c>
      <c r="C266" s="20">
        <v>50</v>
      </c>
      <c r="D266" s="20">
        <v>50.44</v>
      </c>
      <c r="E266" s="20">
        <v>-0.44</v>
      </c>
      <c r="F266" s="20">
        <v>-0.01</v>
      </c>
      <c r="G266" s="20">
        <v>979.64</v>
      </c>
      <c r="H266" s="20"/>
      <c r="I266" s="20"/>
      <c r="J266" s="20"/>
      <c r="K266" s="20"/>
    </row>
    <row r="267" spans="1:11" ht="19.5" customHeight="1" x14ac:dyDescent="0.3">
      <c r="A267" s="22">
        <v>46045.616468425927</v>
      </c>
      <c r="B267" s="25">
        <v>26.1</v>
      </c>
      <c r="C267" s="20">
        <v>50</v>
      </c>
      <c r="D267" s="20">
        <v>50.47</v>
      </c>
      <c r="E267" s="20">
        <v>-0.47</v>
      </c>
      <c r="F267" s="20">
        <v>-0.03</v>
      </c>
      <c r="G267" s="20">
        <v>967.36</v>
      </c>
      <c r="H267" s="20"/>
      <c r="I267" s="20"/>
      <c r="J267" s="20"/>
      <c r="K267" s="20"/>
    </row>
    <row r="268" spans="1:11" ht="19.5" customHeight="1" x14ac:dyDescent="0.3">
      <c r="A268" s="22">
        <v>46045.616469594905</v>
      </c>
      <c r="B268" s="20">
        <v>26.2</v>
      </c>
      <c r="C268" s="20">
        <v>50</v>
      </c>
      <c r="D268" s="20">
        <v>50.46</v>
      </c>
      <c r="E268" s="20">
        <v>-0.46</v>
      </c>
      <c r="F268" s="20">
        <v>0.01</v>
      </c>
      <c r="G268" s="20">
        <v>994.68</v>
      </c>
      <c r="H268" s="20"/>
      <c r="I268" s="20"/>
      <c r="J268" s="20"/>
      <c r="K268" s="20"/>
    </row>
    <row r="269" spans="1:11" ht="19.5" customHeight="1" x14ac:dyDescent="0.3">
      <c r="A269" s="22">
        <v>46045.616470752313</v>
      </c>
      <c r="B269" s="25">
        <v>26.3</v>
      </c>
      <c r="C269" s="20">
        <v>50</v>
      </c>
      <c r="D269" s="20">
        <v>50.43</v>
      </c>
      <c r="E269" s="20">
        <v>-0.43</v>
      </c>
      <c r="F269" s="20">
        <v>0.02</v>
      </c>
      <c r="G269" s="20">
        <v>1045.46</v>
      </c>
      <c r="H269" s="20"/>
      <c r="I269" s="20"/>
      <c r="J269" s="20"/>
      <c r="K269" s="20"/>
    </row>
    <row r="270" spans="1:11" ht="19.5" customHeight="1" x14ac:dyDescent="0.3">
      <c r="A270" s="22">
        <v>46045.616471898145</v>
      </c>
      <c r="B270" s="25">
        <v>26.4</v>
      </c>
      <c r="C270" s="20">
        <v>50</v>
      </c>
      <c r="D270" s="20">
        <v>50.44</v>
      </c>
      <c r="E270" s="20">
        <v>-0.44</v>
      </c>
      <c r="F270" s="20">
        <v>-0.01</v>
      </c>
      <c r="G270" s="20">
        <v>977.96</v>
      </c>
      <c r="H270" s="20"/>
      <c r="I270" s="20"/>
      <c r="J270" s="20"/>
      <c r="K270" s="20"/>
    </row>
    <row r="271" spans="1:11" ht="19.5" customHeight="1" x14ac:dyDescent="0.3">
      <c r="A271" s="22">
        <v>46045.61647306713</v>
      </c>
      <c r="B271" s="20">
        <v>26.5</v>
      </c>
      <c r="C271" s="20">
        <v>50</v>
      </c>
      <c r="D271" s="20">
        <v>50.43</v>
      </c>
      <c r="E271" s="20">
        <v>-0.43</v>
      </c>
      <c r="F271" s="20">
        <v>0.02</v>
      </c>
      <c r="G271" s="20">
        <v>1027.81</v>
      </c>
      <c r="H271" s="20"/>
      <c r="I271" s="20"/>
      <c r="J271" s="20"/>
      <c r="K271" s="20"/>
    </row>
    <row r="272" spans="1:11" ht="19.5" customHeight="1" x14ac:dyDescent="0.3">
      <c r="A272" s="22">
        <v>46045.616474212962</v>
      </c>
      <c r="B272" s="25">
        <v>26.6</v>
      </c>
      <c r="C272" s="20">
        <v>50</v>
      </c>
      <c r="D272" s="20">
        <v>50.38</v>
      </c>
      <c r="E272" s="20">
        <v>-0.38</v>
      </c>
      <c r="F272" s="20">
        <v>0.04</v>
      </c>
      <c r="G272" s="20">
        <v>1102.2</v>
      </c>
      <c r="H272" s="20"/>
      <c r="I272" s="20"/>
      <c r="J272" s="20"/>
      <c r="K272" s="20"/>
    </row>
    <row r="273" spans="1:11" ht="19.5" customHeight="1" x14ac:dyDescent="0.3">
      <c r="A273" s="22">
        <v>46045.616475358795</v>
      </c>
      <c r="B273" s="20">
        <v>26.7</v>
      </c>
      <c r="C273" s="20">
        <v>50</v>
      </c>
      <c r="D273" s="20">
        <v>50.43</v>
      </c>
      <c r="E273" s="20">
        <v>-0.43</v>
      </c>
      <c r="F273" s="20">
        <v>-0.04</v>
      </c>
      <c r="G273" s="20">
        <v>984.48</v>
      </c>
      <c r="H273" s="20"/>
      <c r="I273" s="20"/>
      <c r="J273" s="20"/>
      <c r="K273" s="20"/>
    </row>
    <row r="274" spans="1:11" ht="19.5" customHeight="1" x14ac:dyDescent="0.3">
      <c r="A274" s="22">
        <v>46045.6164765625</v>
      </c>
      <c r="B274" s="25">
        <v>26.8</v>
      </c>
      <c r="C274" s="20">
        <v>50</v>
      </c>
      <c r="D274" s="20">
        <v>50.41</v>
      </c>
      <c r="E274" s="20">
        <v>-0.41</v>
      </c>
      <c r="F274" s="20">
        <v>0.02</v>
      </c>
      <c r="G274" s="20">
        <v>1043.76</v>
      </c>
      <c r="H274" s="20"/>
      <c r="I274" s="20"/>
      <c r="J274" s="20"/>
      <c r="K274" s="20"/>
    </row>
    <row r="275" spans="1:11" ht="19.5" customHeight="1" x14ac:dyDescent="0.3">
      <c r="A275" s="22">
        <v>46045.616477685187</v>
      </c>
      <c r="B275" s="25">
        <v>26.9</v>
      </c>
      <c r="C275" s="20">
        <v>50</v>
      </c>
      <c r="D275" s="20">
        <v>50.38</v>
      </c>
      <c r="E275" s="20">
        <v>-0.38</v>
      </c>
      <c r="F275" s="20">
        <v>0.03</v>
      </c>
      <c r="G275" s="20">
        <v>1069.5</v>
      </c>
      <c r="H275" s="20"/>
      <c r="I275" s="20"/>
      <c r="J275" s="20"/>
      <c r="K275" s="20"/>
    </row>
    <row r="276" spans="1:11" ht="19.5" customHeight="1" x14ac:dyDescent="0.3">
      <c r="A276" s="22">
        <v>46045.616478854165</v>
      </c>
      <c r="B276" s="20">
        <v>27</v>
      </c>
      <c r="C276" s="20">
        <v>50</v>
      </c>
      <c r="D276" s="20">
        <v>50.42</v>
      </c>
      <c r="E276" s="20">
        <v>-0.42</v>
      </c>
      <c r="F276" s="20">
        <v>-0.04</v>
      </c>
      <c r="G276" s="20">
        <v>986.05</v>
      </c>
      <c r="H276" s="20"/>
      <c r="I276" s="20"/>
      <c r="J276" s="20"/>
      <c r="K276" s="20"/>
    </row>
    <row r="277" spans="1:11" ht="19.5" customHeight="1" x14ac:dyDescent="0.3">
      <c r="A277" s="22">
        <v>46045.616479988428</v>
      </c>
      <c r="B277" s="25">
        <v>27.1</v>
      </c>
      <c r="C277" s="20">
        <v>50</v>
      </c>
      <c r="D277" s="20">
        <v>50.44</v>
      </c>
      <c r="E277" s="20">
        <v>-0.44</v>
      </c>
      <c r="F277" s="20">
        <v>-0.02</v>
      </c>
      <c r="G277" s="20">
        <v>977.96</v>
      </c>
      <c r="H277" s="20"/>
      <c r="I277" s="20"/>
      <c r="J277" s="20"/>
      <c r="K277" s="20"/>
    </row>
    <row r="278" spans="1:11" ht="19.5" customHeight="1" x14ac:dyDescent="0.3">
      <c r="A278" s="22">
        <v>46045.616481157405</v>
      </c>
      <c r="B278" s="20">
        <v>27.2</v>
      </c>
      <c r="C278" s="20">
        <v>50</v>
      </c>
      <c r="D278" s="20">
        <v>50.38</v>
      </c>
      <c r="E278" s="20">
        <v>-0.38</v>
      </c>
      <c r="F278" s="20">
        <v>0.06</v>
      </c>
      <c r="G278" s="20">
        <v>1140.5999999999999</v>
      </c>
      <c r="H278" s="20"/>
      <c r="I278" s="20"/>
      <c r="J278" s="20"/>
      <c r="K278" s="20"/>
    </row>
    <row r="279" spans="1:11" ht="19.5" customHeight="1" x14ac:dyDescent="0.3">
      <c r="A279" s="22">
        <v>46045.616482337966</v>
      </c>
      <c r="B279" s="25">
        <v>27.3</v>
      </c>
      <c r="C279" s="20">
        <v>50</v>
      </c>
      <c r="D279" s="20">
        <v>50.44</v>
      </c>
      <c r="E279" s="20">
        <v>-0.44</v>
      </c>
      <c r="F279" s="20">
        <v>-0.06</v>
      </c>
      <c r="G279" s="20">
        <v>977.96</v>
      </c>
      <c r="H279" s="20"/>
      <c r="I279" s="20"/>
      <c r="J279" s="20"/>
      <c r="K279" s="20"/>
    </row>
    <row r="280" spans="1:11" ht="19.5" customHeight="1" x14ac:dyDescent="0.3">
      <c r="A280" s="22">
        <v>46045.616483472222</v>
      </c>
      <c r="B280" s="20">
        <v>27.4</v>
      </c>
      <c r="C280" s="20">
        <v>50</v>
      </c>
      <c r="D280" s="20">
        <v>50.44</v>
      </c>
      <c r="E280" s="20">
        <v>-0.44</v>
      </c>
      <c r="F280" s="20">
        <v>0</v>
      </c>
      <c r="G280" s="20">
        <v>991.2</v>
      </c>
      <c r="H280" s="20"/>
      <c r="I280" s="20"/>
      <c r="J280" s="20"/>
      <c r="K280" s="20"/>
    </row>
    <row r="281" spans="1:11" ht="19.5" customHeight="1" x14ac:dyDescent="0.3">
      <c r="A281" s="22">
        <v>46045.616484629631</v>
      </c>
      <c r="B281" s="25">
        <v>27.5</v>
      </c>
      <c r="C281" s="20">
        <v>50</v>
      </c>
      <c r="D281" s="20">
        <v>50.45</v>
      </c>
      <c r="E281" s="20">
        <v>-0.45</v>
      </c>
      <c r="F281" s="20">
        <v>-0.02</v>
      </c>
      <c r="G281" s="20">
        <v>972.78</v>
      </c>
      <c r="H281" s="20"/>
      <c r="I281" s="20"/>
      <c r="J281" s="20"/>
      <c r="K281" s="20"/>
    </row>
    <row r="282" spans="1:11" ht="19.5" customHeight="1" x14ac:dyDescent="0.3">
      <c r="A282" s="22">
        <v>46045.616485787039</v>
      </c>
      <c r="B282" s="25">
        <v>27.6</v>
      </c>
      <c r="C282" s="20">
        <v>50</v>
      </c>
      <c r="D282" s="20">
        <v>50.45</v>
      </c>
      <c r="E282" s="20">
        <v>-0.45</v>
      </c>
      <c r="F282" s="20">
        <v>0.01</v>
      </c>
      <c r="G282" s="20">
        <v>999.41</v>
      </c>
      <c r="H282" s="20"/>
      <c r="I282" s="20"/>
      <c r="J282" s="20"/>
      <c r="K282" s="20"/>
    </row>
    <row r="283" spans="1:11" ht="19.5" customHeight="1" x14ac:dyDescent="0.3">
      <c r="A283" s="22">
        <v>46045.616486944447</v>
      </c>
      <c r="B283" s="20">
        <v>27.7</v>
      </c>
      <c r="C283" s="20">
        <v>50</v>
      </c>
      <c r="D283" s="20">
        <v>50.45</v>
      </c>
      <c r="E283" s="20">
        <v>-0.45</v>
      </c>
      <c r="F283" s="20">
        <v>-0.01</v>
      </c>
      <c r="G283" s="20">
        <v>972.78</v>
      </c>
      <c r="H283" s="20"/>
      <c r="I283" s="20"/>
      <c r="J283" s="20"/>
      <c r="K283" s="20"/>
    </row>
    <row r="284" spans="1:11" ht="19.5" customHeight="1" x14ac:dyDescent="0.3">
      <c r="A284" s="22">
        <v>46045.616488101849</v>
      </c>
      <c r="B284" s="25">
        <v>27.8</v>
      </c>
      <c r="C284" s="20">
        <v>50</v>
      </c>
      <c r="D284" s="20">
        <v>50.43</v>
      </c>
      <c r="E284" s="20">
        <v>-0.43</v>
      </c>
      <c r="F284" s="20">
        <v>0.02</v>
      </c>
      <c r="G284" s="20">
        <v>1035.49</v>
      </c>
      <c r="H284" s="20"/>
      <c r="I284" s="20"/>
      <c r="J284" s="20"/>
      <c r="K284" s="20"/>
    </row>
    <row r="285" spans="1:11" ht="19.5" customHeight="1" x14ac:dyDescent="0.3">
      <c r="A285" s="22">
        <v>46045.616489259257</v>
      </c>
      <c r="B285" s="20">
        <v>27.9</v>
      </c>
      <c r="C285" s="20">
        <v>50</v>
      </c>
      <c r="D285" s="20">
        <v>50.49</v>
      </c>
      <c r="E285" s="20">
        <v>-0.49</v>
      </c>
      <c r="F285" s="20">
        <v>-0.05</v>
      </c>
      <c r="G285" s="20">
        <v>957.7</v>
      </c>
      <c r="H285" s="20"/>
      <c r="I285" s="20"/>
      <c r="J285" s="20"/>
      <c r="K285" s="20"/>
    </row>
    <row r="286" spans="1:11" ht="19.5" customHeight="1" x14ac:dyDescent="0.3">
      <c r="A286" s="22">
        <v>46045.616490416665</v>
      </c>
      <c r="B286" s="25">
        <v>28</v>
      </c>
      <c r="C286" s="20">
        <v>50</v>
      </c>
      <c r="D286" s="20">
        <v>50.45</v>
      </c>
      <c r="E286" s="20">
        <v>-0.45</v>
      </c>
      <c r="F286" s="20">
        <v>0.04</v>
      </c>
      <c r="G286" s="20">
        <v>1069.9000000000001</v>
      </c>
      <c r="H286" s="20"/>
      <c r="I286" s="20"/>
      <c r="J286" s="20"/>
      <c r="K286" s="20"/>
    </row>
    <row r="287" spans="1:11" ht="19.5" customHeight="1" x14ac:dyDescent="0.3">
      <c r="A287" s="22">
        <v>46045.616491597226</v>
      </c>
      <c r="B287" s="25">
        <v>28.1</v>
      </c>
      <c r="C287" s="20">
        <v>50</v>
      </c>
      <c r="D287" s="20">
        <v>50.5</v>
      </c>
      <c r="E287" s="20">
        <v>-0.5</v>
      </c>
      <c r="F287" s="20">
        <v>-0.05</v>
      </c>
      <c r="G287" s="20">
        <v>951.43</v>
      </c>
      <c r="H287" s="20"/>
      <c r="I287" s="20"/>
      <c r="J287" s="20"/>
      <c r="K287" s="20"/>
    </row>
    <row r="288" spans="1:11" ht="19.5" customHeight="1" x14ac:dyDescent="0.3">
      <c r="A288" s="22">
        <v>46045.616492731482</v>
      </c>
      <c r="B288" s="20">
        <v>28.2</v>
      </c>
      <c r="C288" s="20">
        <v>50</v>
      </c>
      <c r="D288" s="20">
        <v>50.46</v>
      </c>
      <c r="E288" s="20">
        <v>-0.46</v>
      </c>
      <c r="F288" s="20">
        <v>0.04</v>
      </c>
      <c r="G288" s="20">
        <v>1066.8399999999999</v>
      </c>
      <c r="H288" s="20"/>
      <c r="I288" s="20"/>
      <c r="J288" s="20"/>
      <c r="K288" s="20"/>
    </row>
    <row r="289" spans="1:11" ht="19.5" customHeight="1" x14ac:dyDescent="0.3">
      <c r="A289" s="22">
        <v>46045.616493888891</v>
      </c>
      <c r="B289" s="25">
        <v>28.3</v>
      </c>
      <c r="C289" s="20">
        <v>50</v>
      </c>
      <c r="D289" s="20">
        <v>50.51</v>
      </c>
      <c r="E289" s="20">
        <v>-0.51</v>
      </c>
      <c r="F289" s="20">
        <v>-0.04</v>
      </c>
      <c r="G289" s="20">
        <v>947.08</v>
      </c>
      <c r="H289" s="20"/>
      <c r="I289" s="20"/>
      <c r="J289" s="20"/>
      <c r="K289" s="20"/>
    </row>
    <row r="290" spans="1:11" ht="19.5" customHeight="1" x14ac:dyDescent="0.3">
      <c r="A290" s="22">
        <v>46045.616495046299</v>
      </c>
      <c r="B290" s="20">
        <v>28.4</v>
      </c>
      <c r="C290" s="20">
        <v>50</v>
      </c>
      <c r="D290" s="20">
        <v>50.46</v>
      </c>
      <c r="E290" s="20">
        <v>-0.46</v>
      </c>
      <c r="F290" s="20">
        <v>0.05</v>
      </c>
      <c r="G290" s="20">
        <v>1095.2</v>
      </c>
      <c r="H290" s="20"/>
      <c r="I290" s="20"/>
      <c r="J290" s="20"/>
      <c r="K290" s="20"/>
    </row>
    <row r="291" spans="1:11" ht="19.5" customHeight="1" x14ac:dyDescent="0.3">
      <c r="A291" s="22">
        <v>46045.6164962037</v>
      </c>
      <c r="B291" s="25">
        <v>28.5</v>
      </c>
      <c r="C291" s="20">
        <v>50</v>
      </c>
      <c r="D291" s="20">
        <v>50.49</v>
      </c>
      <c r="E291" s="20">
        <v>-0.49</v>
      </c>
      <c r="F291" s="20">
        <v>-0.03</v>
      </c>
      <c r="G291" s="20">
        <v>955.65</v>
      </c>
      <c r="H291" s="20"/>
      <c r="I291" s="20"/>
      <c r="J291" s="20"/>
      <c r="K291" s="20"/>
    </row>
    <row r="292" spans="1:11" ht="19.5" customHeight="1" x14ac:dyDescent="0.3">
      <c r="A292" s="22">
        <v>46045.616497361108</v>
      </c>
      <c r="B292" s="25">
        <v>28.6</v>
      </c>
      <c r="C292" s="20">
        <v>50</v>
      </c>
      <c r="D292" s="20">
        <v>50.5</v>
      </c>
      <c r="E292" s="20">
        <v>-0.5</v>
      </c>
      <c r="F292" s="20">
        <v>-0.01</v>
      </c>
      <c r="G292" s="20">
        <v>951.43</v>
      </c>
      <c r="H292" s="20"/>
      <c r="I292" s="20"/>
      <c r="J292" s="20"/>
      <c r="K292" s="20"/>
    </row>
    <row r="293" spans="1:11" ht="19.5" customHeight="1" x14ac:dyDescent="0.3">
      <c r="A293" s="22">
        <v>46045.616498518517</v>
      </c>
      <c r="B293" s="20">
        <v>28.7</v>
      </c>
      <c r="C293" s="20">
        <v>50</v>
      </c>
      <c r="D293" s="20">
        <v>50.5</v>
      </c>
      <c r="E293" s="20">
        <v>-0.5</v>
      </c>
      <c r="F293" s="20">
        <v>0</v>
      </c>
      <c r="G293" s="20">
        <v>951.43</v>
      </c>
      <c r="H293" s="20"/>
      <c r="I293" s="20"/>
      <c r="J293" s="20"/>
      <c r="K293" s="20"/>
    </row>
    <row r="294" spans="1:11" ht="19.5" customHeight="1" x14ac:dyDescent="0.3">
      <c r="A294" s="22">
        <v>46045.616499687501</v>
      </c>
      <c r="B294" s="25">
        <v>28.8</v>
      </c>
      <c r="C294" s="20">
        <v>50</v>
      </c>
      <c r="D294" s="20">
        <v>50.47</v>
      </c>
      <c r="E294" s="20">
        <v>-0.47</v>
      </c>
      <c r="F294" s="20">
        <v>0.02</v>
      </c>
      <c r="G294" s="20">
        <v>1033.1099999999999</v>
      </c>
      <c r="H294" s="20"/>
      <c r="I294" s="20"/>
      <c r="J294" s="20"/>
      <c r="K294" s="20"/>
    </row>
    <row r="295" spans="1:11" ht="19.5" customHeight="1" x14ac:dyDescent="0.3">
      <c r="A295" s="22">
        <v>46045.616500856479</v>
      </c>
      <c r="B295" s="20">
        <v>28.9</v>
      </c>
      <c r="C295" s="20">
        <v>50</v>
      </c>
      <c r="D295" s="20">
        <v>50.49</v>
      </c>
      <c r="E295" s="20">
        <v>-0.49</v>
      </c>
      <c r="F295" s="20">
        <v>-0.02</v>
      </c>
      <c r="G295" s="20">
        <v>955.65</v>
      </c>
      <c r="H295" s="20"/>
      <c r="I295" s="20"/>
      <c r="J295" s="20"/>
      <c r="K295" s="20"/>
    </row>
    <row r="296" spans="1:11" ht="19.5" customHeight="1" x14ac:dyDescent="0.3">
      <c r="A296" s="22">
        <v>46045.616501979166</v>
      </c>
      <c r="B296" s="25">
        <v>29</v>
      </c>
      <c r="C296" s="20">
        <v>50</v>
      </c>
      <c r="D296" s="20">
        <v>50.49</v>
      </c>
      <c r="E296" s="20">
        <v>-0.49</v>
      </c>
      <c r="F296" s="20">
        <v>0</v>
      </c>
      <c r="G296" s="20">
        <v>970.53</v>
      </c>
      <c r="H296" s="20"/>
      <c r="I296" s="20"/>
      <c r="J296" s="20"/>
      <c r="K296" s="20"/>
    </row>
    <row r="297" spans="1:11" ht="19.5" customHeight="1" x14ac:dyDescent="0.3">
      <c r="A297" s="22">
        <v>46045.616503136574</v>
      </c>
      <c r="B297" s="25">
        <v>29.1</v>
      </c>
      <c r="C297" s="20">
        <v>50</v>
      </c>
      <c r="D297" s="20">
        <v>50.49</v>
      </c>
      <c r="E297" s="20">
        <v>-0.49</v>
      </c>
      <c r="F297" s="20">
        <v>0</v>
      </c>
      <c r="G297" s="20">
        <v>955.65</v>
      </c>
      <c r="H297" s="20"/>
      <c r="I297" s="20"/>
      <c r="J297" s="20"/>
      <c r="K297" s="20"/>
    </row>
    <row r="298" spans="1:11" ht="19.5" customHeight="1" x14ac:dyDescent="0.3">
      <c r="A298" s="22">
        <v>46045.616504317128</v>
      </c>
      <c r="B298" s="20">
        <v>29.2</v>
      </c>
      <c r="C298" s="20">
        <v>50</v>
      </c>
      <c r="D298" s="20">
        <v>50.52</v>
      </c>
      <c r="E298" s="20">
        <v>-0.52</v>
      </c>
      <c r="F298" s="20">
        <v>-0.03</v>
      </c>
      <c r="G298" s="20">
        <v>937.83</v>
      </c>
      <c r="H298" s="20"/>
      <c r="I298" s="20"/>
      <c r="J298" s="20"/>
      <c r="K298" s="20"/>
    </row>
    <row r="299" spans="1:11" ht="19.5" customHeight="1" x14ac:dyDescent="0.3">
      <c r="A299" s="22">
        <v>46045.616505451391</v>
      </c>
      <c r="B299" s="25">
        <v>29.3</v>
      </c>
      <c r="C299" s="20">
        <v>50</v>
      </c>
      <c r="D299" s="20">
        <v>50.51</v>
      </c>
      <c r="E299" s="20">
        <v>-0.51</v>
      </c>
      <c r="F299" s="20">
        <v>0.01</v>
      </c>
      <c r="G299" s="20">
        <v>984.42</v>
      </c>
      <c r="H299" s="20"/>
      <c r="I299" s="20"/>
      <c r="J299" s="20"/>
      <c r="K299" s="20"/>
    </row>
    <row r="300" spans="1:11" ht="19.5" customHeight="1" x14ac:dyDescent="0.3">
      <c r="A300" s="22">
        <v>46045.616506655089</v>
      </c>
      <c r="B300" s="20">
        <v>29.4</v>
      </c>
      <c r="C300" s="20">
        <v>50</v>
      </c>
      <c r="D300" s="20">
        <v>50.49</v>
      </c>
      <c r="E300" s="20">
        <v>-0.49</v>
      </c>
      <c r="F300" s="20">
        <v>0.02</v>
      </c>
      <c r="G300" s="20">
        <v>1029.1099999999999</v>
      </c>
      <c r="H300" s="20"/>
      <c r="I300" s="20"/>
      <c r="J300" s="20"/>
      <c r="K300" s="20"/>
    </row>
    <row r="301" spans="1:11" ht="19.5" customHeight="1" x14ac:dyDescent="0.3">
      <c r="A301" s="22">
        <v>46045.616507777777</v>
      </c>
      <c r="B301" s="25">
        <v>29.5</v>
      </c>
      <c r="C301" s="20">
        <v>50</v>
      </c>
      <c r="D301" s="20">
        <v>50.49</v>
      </c>
      <c r="E301" s="20">
        <v>-0.49</v>
      </c>
      <c r="F301" s="20">
        <v>0</v>
      </c>
      <c r="G301" s="20">
        <v>957.7</v>
      </c>
      <c r="H301" s="20"/>
      <c r="I301" s="20"/>
      <c r="J301" s="20"/>
      <c r="K301" s="20"/>
    </row>
    <row r="302" spans="1:11" ht="19.5" customHeight="1" x14ac:dyDescent="0.3">
      <c r="A302" s="22">
        <v>46045.616508935185</v>
      </c>
      <c r="B302" s="25">
        <v>29.6</v>
      </c>
      <c r="C302" s="20">
        <v>50</v>
      </c>
      <c r="D302" s="20">
        <v>50.49</v>
      </c>
      <c r="E302" s="20">
        <v>-0.49</v>
      </c>
      <c r="F302" s="20">
        <v>0</v>
      </c>
      <c r="G302" s="20">
        <v>957.7</v>
      </c>
      <c r="H302" s="20"/>
      <c r="I302" s="20"/>
      <c r="J302" s="20"/>
      <c r="K302" s="20"/>
    </row>
    <row r="303" spans="1:11" ht="19.5" customHeight="1" x14ac:dyDescent="0.3">
      <c r="A303" s="22">
        <v>46045.61651010417</v>
      </c>
      <c r="B303" s="20">
        <v>29.7</v>
      </c>
      <c r="C303" s="20">
        <v>50</v>
      </c>
      <c r="D303" s="20">
        <v>50.5</v>
      </c>
      <c r="E303" s="20">
        <v>-0.5</v>
      </c>
      <c r="F303" s="20">
        <v>-0.01</v>
      </c>
      <c r="G303" s="20">
        <v>951.43</v>
      </c>
      <c r="H303" s="20"/>
      <c r="I303" s="20"/>
      <c r="J303" s="20"/>
      <c r="K303" s="20"/>
    </row>
    <row r="304" spans="1:11" ht="19.5" customHeight="1" x14ac:dyDescent="0.3">
      <c r="A304" s="22">
        <v>46045.616511250002</v>
      </c>
      <c r="B304" s="25">
        <v>29.8</v>
      </c>
      <c r="C304" s="20">
        <v>50</v>
      </c>
      <c r="D304" s="20">
        <v>50.47</v>
      </c>
      <c r="E304" s="20">
        <v>-0.47</v>
      </c>
      <c r="F304" s="20">
        <v>0.02</v>
      </c>
      <c r="G304" s="20">
        <v>1033.1099999999999</v>
      </c>
      <c r="H304" s="20"/>
      <c r="I304" s="20"/>
      <c r="J304" s="20"/>
      <c r="K304" s="20"/>
    </row>
    <row r="305" spans="1:11" ht="19.5" customHeight="1" x14ac:dyDescent="0.3">
      <c r="A305" s="22">
        <v>46045.61651240741</v>
      </c>
      <c r="B305" s="20">
        <v>29.9</v>
      </c>
      <c r="C305" s="20">
        <v>50</v>
      </c>
      <c r="D305" s="20">
        <v>50.47</v>
      </c>
      <c r="E305" s="20">
        <v>-0.47</v>
      </c>
      <c r="F305" s="20">
        <v>0</v>
      </c>
      <c r="G305" s="20">
        <v>963.6</v>
      </c>
      <c r="H305" s="20"/>
      <c r="I305" s="20"/>
      <c r="J305" s="20"/>
      <c r="K305" s="20"/>
    </row>
    <row r="306" spans="1:11" ht="19.5" customHeight="1" x14ac:dyDescent="0.3">
      <c r="A306" s="22">
        <v>46045.616513576388</v>
      </c>
      <c r="B306" s="25">
        <v>30</v>
      </c>
      <c r="C306" s="20">
        <v>50</v>
      </c>
      <c r="D306" s="20">
        <v>50.51</v>
      </c>
      <c r="E306" s="20">
        <v>-0.51</v>
      </c>
      <c r="F306" s="20">
        <v>-0.03</v>
      </c>
      <c r="G306" s="20">
        <v>947.08</v>
      </c>
      <c r="H306" s="20"/>
      <c r="I306" s="20"/>
      <c r="J306" s="20"/>
      <c r="K306" s="20"/>
    </row>
    <row r="307" spans="1:11" ht="19.5" customHeight="1" x14ac:dyDescent="0.3">
      <c r="A307" s="22">
        <v>46045.61651472222</v>
      </c>
      <c r="B307" s="25">
        <v>30.1</v>
      </c>
      <c r="C307" s="20">
        <v>50</v>
      </c>
      <c r="D307" s="20">
        <v>50.46</v>
      </c>
      <c r="E307" s="20">
        <v>-0.46</v>
      </c>
      <c r="F307" s="20">
        <v>0.04</v>
      </c>
      <c r="G307" s="20">
        <v>1085.44</v>
      </c>
      <c r="H307" s="20"/>
      <c r="I307" s="20"/>
      <c r="J307" s="20"/>
      <c r="K307" s="20"/>
    </row>
    <row r="308" spans="1:11" ht="19.5" customHeight="1" x14ac:dyDescent="0.3">
      <c r="A308" s="22">
        <v>46045.616515891204</v>
      </c>
      <c r="B308" s="20">
        <v>30.2</v>
      </c>
      <c r="C308" s="20">
        <v>50</v>
      </c>
      <c r="D308" s="20">
        <v>50.46</v>
      </c>
      <c r="E308" s="20">
        <v>-0.46</v>
      </c>
      <c r="F308" s="20">
        <v>0</v>
      </c>
      <c r="G308" s="20">
        <v>969.19</v>
      </c>
      <c r="H308" s="20"/>
      <c r="I308" s="20"/>
      <c r="J308" s="20"/>
      <c r="K308" s="20"/>
    </row>
    <row r="309" spans="1:11" ht="19.5" customHeight="1" x14ac:dyDescent="0.3">
      <c r="A309" s="22">
        <v>46045.616517037037</v>
      </c>
      <c r="B309" s="25">
        <v>30.3</v>
      </c>
      <c r="C309" s="20">
        <v>50</v>
      </c>
      <c r="D309" s="20">
        <v>50.48</v>
      </c>
      <c r="E309" s="20">
        <v>-0.48</v>
      </c>
      <c r="F309" s="20">
        <v>-0.02</v>
      </c>
      <c r="G309" s="20">
        <v>961.68</v>
      </c>
      <c r="H309" s="20"/>
      <c r="I309" s="20"/>
      <c r="J309" s="20"/>
      <c r="K309" s="20"/>
    </row>
    <row r="310" spans="1:11" ht="19.5" customHeight="1" x14ac:dyDescent="0.3">
      <c r="A310" s="22">
        <v>46045.616518182869</v>
      </c>
      <c r="B310" s="20">
        <v>30.4</v>
      </c>
      <c r="C310" s="20">
        <v>50</v>
      </c>
      <c r="D310" s="20">
        <v>50.4</v>
      </c>
      <c r="E310" s="20">
        <v>-0.4</v>
      </c>
      <c r="F310" s="20">
        <v>0.08</v>
      </c>
      <c r="G310" s="20">
        <v>1165.33</v>
      </c>
      <c r="H310" s="20"/>
      <c r="I310" s="20"/>
      <c r="J310" s="20"/>
      <c r="K310" s="20"/>
    </row>
    <row r="311" spans="1:11" ht="19.5" customHeight="1" x14ac:dyDescent="0.3">
      <c r="A311" s="22">
        <v>46045.616519351854</v>
      </c>
      <c r="B311" s="25">
        <v>30.5</v>
      </c>
      <c r="C311" s="20">
        <v>50</v>
      </c>
      <c r="D311" s="20">
        <v>50.45</v>
      </c>
      <c r="E311" s="20">
        <v>-0.45</v>
      </c>
      <c r="F311" s="20">
        <v>-0.05</v>
      </c>
      <c r="G311" s="20">
        <v>974.54</v>
      </c>
      <c r="H311" s="20"/>
      <c r="I311" s="20"/>
      <c r="J311" s="20"/>
      <c r="K311" s="20"/>
    </row>
    <row r="312" spans="1:11" ht="19.5" customHeight="1" x14ac:dyDescent="0.3">
      <c r="A312" s="22">
        <v>46045.616520509262</v>
      </c>
      <c r="B312" s="25">
        <v>30.6</v>
      </c>
      <c r="C312" s="20">
        <v>50</v>
      </c>
      <c r="D312" s="20">
        <v>50.43</v>
      </c>
      <c r="E312" s="20">
        <v>-0.43</v>
      </c>
      <c r="F312" s="20">
        <v>0.02</v>
      </c>
      <c r="G312" s="20">
        <v>1036.73</v>
      </c>
      <c r="H312" s="20"/>
      <c r="I312" s="20"/>
      <c r="J312" s="20"/>
      <c r="K312" s="20"/>
    </row>
    <row r="313" spans="1:11" ht="19.5" customHeight="1" x14ac:dyDescent="0.3">
      <c r="A313" s="22">
        <v>46045.616521666663</v>
      </c>
      <c r="B313" s="20">
        <v>30.7</v>
      </c>
      <c r="C313" s="20">
        <v>50</v>
      </c>
      <c r="D313" s="20">
        <v>50.45</v>
      </c>
      <c r="E313" s="20">
        <v>-0.45</v>
      </c>
      <c r="F313" s="20">
        <v>-0.02</v>
      </c>
      <c r="G313" s="20">
        <v>972.78</v>
      </c>
      <c r="H313" s="20"/>
      <c r="I313" s="20"/>
      <c r="J313" s="20"/>
      <c r="K313" s="20"/>
    </row>
    <row r="314" spans="1:11" ht="19.5" customHeight="1" x14ac:dyDescent="0.3">
      <c r="A314" s="22">
        <v>46045.616522835648</v>
      </c>
      <c r="B314" s="25">
        <v>30.8</v>
      </c>
      <c r="C314" s="20">
        <v>50</v>
      </c>
      <c r="D314" s="20">
        <v>50.41</v>
      </c>
      <c r="E314" s="20">
        <v>-0.41</v>
      </c>
      <c r="F314" s="20">
        <v>0.05</v>
      </c>
      <c r="G314" s="20">
        <v>1105.6300000000001</v>
      </c>
      <c r="H314" s="20"/>
      <c r="I314" s="20"/>
      <c r="J314" s="20"/>
      <c r="K314" s="20"/>
    </row>
    <row r="315" spans="1:11" ht="19.5" customHeight="1" x14ac:dyDescent="0.3">
      <c r="A315" s="22">
        <v>46045.616523993056</v>
      </c>
      <c r="B315" s="20">
        <v>30.9</v>
      </c>
      <c r="C315" s="20">
        <v>50</v>
      </c>
      <c r="D315" s="20">
        <v>50.46</v>
      </c>
      <c r="E315" s="20">
        <v>-0.46</v>
      </c>
      <c r="F315" s="20">
        <v>-0.06</v>
      </c>
      <c r="G315" s="20">
        <v>969.19</v>
      </c>
      <c r="H315" s="20"/>
      <c r="I315" s="20"/>
      <c r="J315" s="20"/>
      <c r="K315" s="20"/>
    </row>
    <row r="316" spans="1:11" ht="19.5" customHeight="1" x14ac:dyDescent="0.3">
      <c r="A316" s="22">
        <v>46045.616525127312</v>
      </c>
      <c r="B316" s="25">
        <v>31</v>
      </c>
      <c r="C316" s="20">
        <v>50</v>
      </c>
      <c r="D316" s="20">
        <v>50.37</v>
      </c>
      <c r="E316" s="20">
        <v>-0.37</v>
      </c>
      <c r="F316" s="20">
        <v>0.09</v>
      </c>
      <c r="G316" s="20">
        <v>1187.17</v>
      </c>
      <c r="H316" s="20"/>
      <c r="I316" s="20"/>
      <c r="J316" s="20"/>
      <c r="K316" s="20"/>
    </row>
    <row r="317" spans="1:11" ht="19.5" customHeight="1" x14ac:dyDescent="0.3">
      <c r="A317" s="22">
        <v>46045.616526296297</v>
      </c>
      <c r="B317" s="25">
        <v>31.1</v>
      </c>
      <c r="C317" s="20">
        <v>50</v>
      </c>
      <c r="D317" s="20">
        <v>50.45</v>
      </c>
      <c r="E317" s="20">
        <v>-0.45</v>
      </c>
      <c r="F317" s="20">
        <v>-0.08</v>
      </c>
      <c r="G317" s="20">
        <v>972.78</v>
      </c>
      <c r="H317" s="20"/>
      <c r="I317" s="20"/>
      <c r="J317" s="20"/>
      <c r="K317" s="20"/>
    </row>
    <row r="318" spans="1:11" ht="19.5" customHeight="1" x14ac:dyDescent="0.3">
      <c r="A318" s="22">
        <v>46045.616527465281</v>
      </c>
      <c r="B318" s="20">
        <v>31.2</v>
      </c>
      <c r="C318" s="20">
        <v>50</v>
      </c>
      <c r="D318" s="20">
        <v>50.39</v>
      </c>
      <c r="E318" s="20">
        <v>-0.39</v>
      </c>
      <c r="F318" s="20">
        <v>0.06</v>
      </c>
      <c r="G318" s="20">
        <v>1138.82</v>
      </c>
      <c r="H318" s="20"/>
      <c r="I318" s="20"/>
      <c r="J318" s="20"/>
      <c r="K318" s="20"/>
    </row>
    <row r="319" spans="1:11" ht="19.5" customHeight="1" x14ac:dyDescent="0.3">
      <c r="A319" s="22">
        <v>46045.616528611114</v>
      </c>
      <c r="B319" s="25">
        <v>31.3</v>
      </c>
      <c r="C319" s="20">
        <v>50</v>
      </c>
      <c r="D319" s="20">
        <v>50.47</v>
      </c>
      <c r="E319" s="20">
        <v>-0.47</v>
      </c>
      <c r="F319" s="20">
        <v>-0.08</v>
      </c>
      <c r="G319" s="20">
        <v>963.6</v>
      </c>
      <c r="H319" s="20"/>
      <c r="I319" s="20"/>
      <c r="J319" s="20"/>
      <c r="K319" s="20"/>
    </row>
    <row r="320" spans="1:11" ht="19.5" customHeight="1" x14ac:dyDescent="0.3">
      <c r="A320" s="22">
        <v>46045.616529768522</v>
      </c>
      <c r="B320" s="20">
        <v>31.4</v>
      </c>
      <c r="C320" s="20">
        <v>50</v>
      </c>
      <c r="D320" s="20">
        <v>50.36</v>
      </c>
      <c r="E320" s="20">
        <v>-0.36</v>
      </c>
      <c r="F320" s="20">
        <v>0.12</v>
      </c>
      <c r="G320" s="20">
        <v>1221.6600000000001</v>
      </c>
      <c r="H320" s="20"/>
      <c r="I320" s="20"/>
      <c r="J320" s="20"/>
      <c r="K320" s="20"/>
    </row>
    <row r="321" spans="1:11" ht="19.5" customHeight="1" x14ac:dyDescent="0.3">
      <c r="A321" s="22">
        <v>46045.616530937499</v>
      </c>
      <c r="B321" s="25">
        <v>31.5</v>
      </c>
      <c r="C321" s="20">
        <v>50</v>
      </c>
      <c r="D321" s="20">
        <v>50.53</v>
      </c>
      <c r="E321" s="20">
        <v>-0.53</v>
      </c>
      <c r="F321" s="20">
        <v>-0.17</v>
      </c>
      <c r="G321" s="20">
        <v>935.39</v>
      </c>
      <c r="H321" s="20"/>
      <c r="I321" s="20"/>
      <c r="J321" s="20"/>
      <c r="K321" s="20"/>
    </row>
    <row r="322" spans="1:11" ht="19.5" customHeight="1" x14ac:dyDescent="0.3">
      <c r="A322" s="22">
        <v>46045.616532083332</v>
      </c>
      <c r="B322" s="25">
        <v>31.6</v>
      </c>
      <c r="C322" s="20">
        <v>50</v>
      </c>
      <c r="D322" s="20">
        <v>50.37</v>
      </c>
      <c r="E322" s="20">
        <v>-0.37</v>
      </c>
      <c r="F322" s="20">
        <v>0.16</v>
      </c>
      <c r="G322" s="20">
        <v>1268.1400000000001</v>
      </c>
      <c r="H322" s="20"/>
      <c r="I322" s="20"/>
      <c r="J322" s="20"/>
      <c r="K322" s="20"/>
    </row>
    <row r="323" spans="1:11" ht="19.5" customHeight="1" x14ac:dyDescent="0.3">
      <c r="A323" s="22">
        <v>46045.61653324074</v>
      </c>
      <c r="B323" s="20">
        <v>31.7</v>
      </c>
      <c r="C323" s="20">
        <v>50</v>
      </c>
      <c r="D323" s="20">
        <v>50.5</v>
      </c>
      <c r="E323" s="20">
        <v>-0.5</v>
      </c>
      <c r="F323" s="20">
        <v>-0.13</v>
      </c>
      <c r="G323" s="20">
        <v>949.28</v>
      </c>
      <c r="H323" s="20"/>
      <c r="I323" s="20"/>
      <c r="J323" s="20"/>
      <c r="K323" s="20"/>
    </row>
    <row r="324" spans="1:11" ht="19.5" customHeight="1" x14ac:dyDescent="0.3">
      <c r="A324" s="22">
        <v>46045.616534398148</v>
      </c>
      <c r="B324" s="25">
        <v>31.8</v>
      </c>
      <c r="C324" s="20">
        <v>50</v>
      </c>
      <c r="D324" s="20">
        <v>50.37</v>
      </c>
      <c r="E324" s="20">
        <v>-0.37</v>
      </c>
      <c r="F324" s="20">
        <v>0.13</v>
      </c>
      <c r="G324" s="20">
        <v>1235.8499999999999</v>
      </c>
      <c r="H324" s="20"/>
      <c r="I324" s="20"/>
      <c r="J324" s="20"/>
      <c r="K324" s="20"/>
    </row>
    <row r="325" spans="1:11" ht="19.5" customHeight="1" x14ac:dyDescent="0.3">
      <c r="A325" s="22">
        <v>46045.616535555557</v>
      </c>
      <c r="B325" s="20">
        <v>31.9</v>
      </c>
      <c r="C325" s="20">
        <v>50</v>
      </c>
      <c r="D325" s="20">
        <v>50.52</v>
      </c>
      <c r="E325" s="20">
        <v>-0.52</v>
      </c>
      <c r="F325" s="20">
        <v>-0.15</v>
      </c>
      <c r="G325" s="20">
        <v>937.83</v>
      </c>
      <c r="H325" s="20"/>
      <c r="I325" s="20"/>
      <c r="J325" s="20"/>
      <c r="K325" s="20"/>
    </row>
    <row r="326" spans="1:11" ht="19.5" customHeight="1" x14ac:dyDescent="0.3">
      <c r="A326" s="22">
        <v>46045.616536724534</v>
      </c>
      <c r="B326" s="25">
        <v>32</v>
      </c>
      <c r="C326" s="20">
        <v>50</v>
      </c>
      <c r="D326" s="20">
        <v>50.38</v>
      </c>
      <c r="E326" s="20">
        <v>-0.38</v>
      </c>
      <c r="F326" s="20">
        <v>0.14000000000000001</v>
      </c>
      <c r="G326" s="20">
        <v>1249.95</v>
      </c>
      <c r="H326" s="20"/>
      <c r="I326" s="20"/>
      <c r="J326" s="20"/>
      <c r="K326" s="20"/>
    </row>
    <row r="327" spans="1:11" ht="19.5" customHeight="1" x14ac:dyDescent="0.3">
      <c r="A327" s="22">
        <v>46045.616537870374</v>
      </c>
      <c r="B327" s="25">
        <v>32.1</v>
      </c>
      <c r="C327" s="20">
        <v>50</v>
      </c>
      <c r="D327" s="20">
        <v>50.6</v>
      </c>
      <c r="E327" s="20">
        <v>-0.6</v>
      </c>
      <c r="F327" s="20">
        <v>-0.21</v>
      </c>
      <c r="G327" s="20">
        <v>883.73</v>
      </c>
      <c r="H327" s="20"/>
      <c r="I327" s="20"/>
      <c r="J327" s="20"/>
      <c r="K327" s="20"/>
    </row>
    <row r="328" spans="1:11" ht="19.5" customHeight="1" x14ac:dyDescent="0.3">
      <c r="A328" s="22">
        <v>46045.616539027775</v>
      </c>
      <c r="B328" s="20">
        <v>32.200000000000003</v>
      </c>
      <c r="C328" s="20">
        <v>50</v>
      </c>
      <c r="D328" s="20">
        <v>50.43</v>
      </c>
      <c r="E328" s="20">
        <v>-0.43</v>
      </c>
      <c r="F328" s="20">
        <v>0.17</v>
      </c>
      <c r="G328" s="20">
        <v>1280.71</v>
      </c>
      <c r="H328" s="20"/>
      <c r="I328" s="20"/>
      <c r="J328" s="20"/>
      <c r="K328" s="20"/>
    </row>
    <row r="329" spans="1:11" ht="19.5" customHeight="1" x14ac:dyDescent="0.3">
      <c r="A329" s="22">
        <v>46045.616540185183</v>
      </c>
      <c r="B329" s="25">
        <v>32.299999999999997</v>
      </c>
      <c r="C329" s="20">
        <v>50</v>
      </c>
      <c r="D329" s="20">
        <v>50.62</v>
      </c>
      <c r="E329" s="20">
        <v>-0.62</v>
      </c>
      <c r="F329" s="20">
        <v>-0.19</v>
      </c>
      <c r="G329" s="20">
        <v>858.96</v>
      </c>
      <c r="H329" s="20"/>
      <c r="I329" s="20"/>
      <c r="J329" s="20"/>
      <c r="K329" s="20"/>
    </row>
    <row r="330" spans="1:11" ht="19.5" customHeight="1" x14ac:dyDescent="0.3">
      <c r="A330" s="22">
        <v>46045.616541331015</v>
      </c>
      <c r="B330" s="20">
        <v>32.4</v>
      </c>
      <c r="C330" s="20">
        <v>50</v>
      </c>
      <c r="D330" s="20">
        <v>50.45</v>
      </c>
      <c r="E330" s="20">
        <v>-0.45</v>
      </c>
      <c r="F330" s="20">
        <v>0.17</v>
      </c>
      <c r="G330" s="20">
        <v>1277.2</v>
      </c>
      <c r="H330" s="20"/>
      <c r="I330" s="20"/>
      <c r="J330" s="20"/>
      <c r="K330" s="20"/>
    </row>
    <row r="331" spans="1:11" ht="19.5" customHeight="1" x14ac:dyDescent="0.3">
      <c r="A331" s="22">
        <v>46045.616542511576</v>
      </c>
      <c r="B331" s="25">
        <v>32.5</v>
      </c>
      <c r="C331" s="20">
        <v>50</v>
      </c>
      <c r="D331" s="20">
        <v>50.65</v>
      </c>
      <c r="E331" s="20">
        <v>-0.65</v>
      </c>
      <c r="F331" s="20">
        <v>-0.2</v>
      </c>
      <c r="G331" s="20">
        <v>817.49</v>
      </c>
      <c r="H331" s="20"/>
      <c r="I331" s="20"/>
      <c r="J331" s="20"/>
      <c r="K331" s="20"/>
    </row>
    <row r="332" spans="1:11" ht="19.5" customHeight="1" x14ac:dyDescent="0.3">
      <c r="A332" s="22">
        <v>46045.616543657408</v>
      </c>
      <c r="B332" s="25">
        <v>32.6</v>
      </c>
      <c r="C332" s="20">
        <v>50</v>
      </c>
      <c r="D332" s="20">
        <v>50.49</v>
      </c>
      <c r="E332" s="20">
        <v>-0.49</v>
      </c>
      <c r="F332" s="20">
        <v>0.17</v>
      </c>
      <c r="G332" s="20">
        <v>1278.77</v>
      </c>
      <c r="H332" s="20"/>
      <c r="I332" s="20"/>
      <c r="J332" s="20"/>
      <c r="K332" s="20"/>
    </row>
    <row r="333" spans="1:11" ht="19.5" customHeight="1" x14ac:dyDescent="0.3">
      <c r="A333" s="22">
        <v>46045.616544814817</v>
      </c>
      <c r="B333" s="20">
        <v>32.700000000000003</v>
      </c>
      <c r="C333" s="20">
        <v>50</v>
      </c>
      <c r="D333" s="20">
        <v>50.66</v>
      </c>
      <c r="E333" s="20">
        <v>-0.66</v>
      </c>
      <c r="F333" s="20">
        <v>-0.17</v>
      </c>
      <c r="G333" s="20">
        <v>805.06</v>
      </c>
      <c r="H333" s="20"/>
      <c r="I333" s="20"/>
      <c r="J333" s="20"/>
      <c r="K333" s="20"/>
    </row>
    <row r="334" spans="1:11" ht="19.5" customHeight="1" x14ac:dyDescent="0.3">
      <c r="A334" s="22">
        <v>46045.616545972225</v>
      </c>
      <c r="B334" s="25">
        <v>32.799999999999997</v>
      </c>
      <c r="C334" s="20">
        <v>50</v>
      </c>
      <c r="D334" s="20">
        <v>50.54</v>
      </c>
      <c r="E334" s="20">
        <v>-0.54</v>
      </c>
      <c r="F334" s="20">
        <v>0.12</v>
      </c>
      <c r="G334" s="20">
        <v>1215.8599999999999</v>
      </c>
      <c r="H334" s="20"/>
      <c r="I334" s="20"/>
      <c r="J334" s="20"/>
      <c r="K334" s="20"/>
    </row>
    <row r="335" spans="1:11" ht="19.5" customHeight="1" x14ac:dyDescent="0.3">
      <c r="A335" s="22">
        <v>46045.616547129626</v>
      </c>
      <c r="B335" s="20">
        <v>32.9</v>
      </c>
      <c r="C335" s="20">
        <v>50</v>
      </c>
      <c r="D335" s="20">
        <v>50.69</v>
      </c>
      <c r="E335" s="20">
        <v>-0.69</v>
      </c>
      <c r="F335" s="20">
        <v>-0.15</v>
      </c>
      <c r="G335" s="20">
        <v>752.8</v>
      </c>
      <c r="H335" s="20"/>
      <c r="I335" s="20"/>
      <c r="J335" s="20"/>
      <c r="K335" s="20"/>
    </row>
    <row r="336" spans="1:11" ht="19.5" customHeight="1" x14ac:dyDescent="0.3">
      <c r="A336" s="22">
        <v>46045.616548298611</v>
      </c>
      <c r="B336" s="25">
        <v>33</v>
      </c>
      <c r="C336" s="20">
        <v>50</v>
      </c>
      <c r="D336" s="20">
        <v>50.58</v>
      </c>
      <c r="E336" s="20">
        <v>-0.57999999999999996</v>
      </c>
      <c r="F336" s="20">
        <v>0.11</v>
      </c>
      <c r="G336" s="20">
        <v>1209.71</v>
      </c>
      <c r="H336" s="20"/>
      <c r="I336" s="20"/>
      <c r="J336" s="20"/>
      <c r="K336" s="20"/>
    </row>
    <row r="337" spans="1:11" ht="19.5" customHeight="1" x14ac:dyDescent="0.3">
      <c r="A337" s="22">
        <v>46045.616549444443</v>
      </c>
      <c r="B337" s="20">
        <v>33.1</v>
      </c>
      <c r="C337" s="20">
        <v>65</v>
      </c>
      <c r="D337" s="20">
        <v>50.74</v>
      </c>
      <c r="E337" s="20">
        <v>14.26</v>
      </c>
      <c r="F337" s="20">
        <v>6</v>
      </c>
      <c r="G337" s="20">
        <v>2048</v>
      </c>
      <c r="H337" s="20"/>
      <c r="I337" s="20"/>
      <c r="J337" s="20"/>
      <c r="K337" s="20"/>
    </row>
    <row r="338" spans="1:11" ht="19.5" customHeight="1" x14ac:dyDescent="0.3">
      <c r="A338" s="22">
        <v>46045.616550601851</v>
      </c>
      <c r="B338" s="25">
        <v>33.200000000000003</v>
      </c>
      <c r="C338" s="20">
        <v>65</v>
      </c>
      <c r="D338" s="20">
        <v>50.69</v>
      </c>
      <c r="E338" s="20">
        <v>14.31</v>
      </c>
      <c r="F338" s="20">
        <v>0.05</v>
      </c>
      <c r="G338" s="20">
        <v>3078.99</v>
      </c>
      <c r="H338" s="20"/>
      <c r="I338" s="20"/>
      <c r="J338" s="20"/>
      <c r="K338" s="20"/>
    </row>
    <row r="339" spans="1:11" ht="19.5" customHeight="1" x14ac:dyDescent="0.3">
      <c r="A339" s="22">
        <v>46045.616551770836</v>
      </c>
      <c r="B339" s="25">
        <v>33.299999999999997</v>
      </c>
      <c r="C339" s="20">
        <v>65</v>
      </c>
      <c r="D339" s="20">
        <v>50.78</v>
      </c>
      <c r="E339" s="20">
        <v>14.22</v>
      </c>
      <c r="F339" s="20">
        <v>-0.1</v>
      </c>
      <c r="G339" s="20">
        <v>3134.5</v>
      </c>
      <c r="H339" s="20"/>
      <c r="I339" s="20"/>
      <c r="J339" s="20"/>
      <c r="K339" s="20"/>
    </row>
    <row r="340" spans="1:11" ht="19.5" customHeight="1" x14ac:dyDescent="0.3">
      <c r="A340" s="22">
        <v>46045.616552905092</v>
      </c>
      <c r="B340" s="20">
        <v>33.4</v>
      </c>
      <c r="C340" s="20">
        <v>65</v>
      </c>
      <c r="D340" s="20">
        <v>50.76</v>
      </c>
      <c r="E340" s="20">
        <v>14.24</v>
      </c>
      <c r="F340" s="20">
        <v>0.02</v>
      </c>
      <c r="G340" s="20">
        <v>3106.03</v>
      </c>
      <c r="H340" s="20"/>
      <c r="I340" s="20"/>
      <c r="J340" s="20"/>
      <c r="K340" s="20"/>
    </row>
    <row r="341" spans="1:11" ht="19.5" customHeight="1" x14ac:dyDescent="0.3">
      <c r="A341" s="22">
        <v>46045.616554085645</v>
      </c>
      <c r="B341" s="25">
        <v>33.5</v>
      </c>
      <c r="C341" s="20">
        <v>65</v>
      </c>
      <c r="D341" s="20">
        <v>50.79</v>
      </c>
      <c r="E341" s="20">
        <v>14.21</v>
      </c>
      <c r="F341" s="20">
        <v>-0.03</v>
      </c>
      <c r="G341" s="20">
        <v>3133.74</v>
      </c>
      <c r="H341" s="20"/>
      <c r="I341" s="20"/>
      <c r="J341" s="20"/>
      <c r="K341" s="20"/>
    </row>
    <row r="342" spans="1:11" ht="19.5" customHeight="1" x14ac:dyDescent="0.3">
      <c r="A342" s="22">
        <v>46045.616555243054</v>
      </c>
      <c r="B342" s="20">
        <v>33.6</v>
      </c>
      <c r="C342" s="20">
        <v>65</v>
      </c>
      <c r="D342" s="20">
        <v>50.9</v>
      </c>
      <c r="E342" s="20">
        <v>14.1</v>
      </c>
      <c r="F342" s="20">
        <v>-0.11</v>
      </c>
      <c r="G342" s="20">
        <v>3123.49</v>
      </c>
      <c r="H342" s="20"/>
      <c r="I342" s="20"/>
      <c r="J342" s="20"/>
      <c r="K342" s="20"/>
    </row>
    <row r="343" spans="1:11" ht="19.5" customHeight="1" x14ac:dyDescent="0.3">
      <c r="A343" s="22">
        <v>46045.616556377317</v>
      </c>
      <c r="B343" s="25">
        <v>33.700000000000003</v>
      </c>
      <c r="C343" s="20">
        <v>65</v>
      </c>
      <c r="D343" s="20">
        <v>50.98</v>
      </c>
      <c r="E343" s="20">
        <v>14.02</v>
      </c>
      <c r="F343" s="20">
        <v>-0.08</v>
      </c>
      <c r="G343" s="20">
        <v>3115.83</v>
      </c>
      <c r="H343" s="20"/>
      <c r="I343" s="20"/>
      <c r="J343" s="20"/>
      <c r="K343" s="20"/>
    </row>
    <row r="344" spans="1:11" ht="19.5" customHeight="1" x14ac:dyDescent="0.3">
      <c r="A344" s="22">
        <v>46045.616557546295</v>
      </c>
      <c r="B344" s="25">
        <v>33.799999999999997</v>
      </c>
      <c r="C344" s="20">
        <v>65</v>
      </c>
      <c r="D344" s="20">
        <v>51.16</v>
      </c>
      <c r="E344" s="20">
        <v>13.84</v>
      </c>
      <c r="F344" s="20">
        <v>-0.18</v>
      </c>
      <c r="G344" s="20">
        <v>3098.33</v>
      </c>
      <c r="H344" s="20"/>
      <c r="I344" s="20"/>
      <c r="J344" s="20"/>
      <c r="K344" s="20"/>
    </row>
    <row r="345" spans="1:11" ht="19.5" customHeight="1" x14ac:dyDescent="0.3">
      <c r="A345" s="22">
        <v>46045.616558703703</v>
      </c>
      <c r="B345" s="20">
        <v>33.9</v>
      </c>
      <c r="C345" s="20">
        <v>65</v>
      </c>
      <c r="D345" s="20">
        <v>51.26</v>
      </c>
      <c r="E345" s="20">
        <v>13.74</v>
      </c>
      <c r="F345" s="20">
        <v>-0.1</v>
      </c>
      <c r="G345" s="20">
        <v>3088.45</v>
      </c>
      <c r="H345" s="20"/>
      <c r="I345" s="20"/>
      <c r="J345" s="20"/>
      <c r="K345" s="20"/>
    </row>
    <row r="346" spans="1:11" ht="19.5" customHeight="1" x14ac:dyDescent="0.3">
      <c r="A346" s="22">
        <v>46045.616559861111</v>
      </c>
      <c r="B346" s="25">
        <v>34</v>
      </c>
      <c r="C346" s="20">
        <v>65</v>
      </c>
      <c r="D346" s="20">
        <v>51.48</v>
      </c>
      <c r="E346" s="20">
        <v>13.52</v>
      </c>
      <c r="F346" s="20">
        <v>-0.22</v>
      </c>
      <c r="G346" s="20">
        <v>3066.75</v>
      </c>
      <c r="H346" s="20"/>
      <c r="I346" s="20"/>
      <c r="J346" s="20"/>
      <c r="K346" s="20"/>
    </row>
    <row r="347" spans="1:11" ht="19.5" customHeight="1" x14ac:dyDescent="0.3">
      <c r="A347" s="22">
        <v>46045.61656101852</v>
      </c>
      <c r="B347" s="20">
        <v>34.1</v>
      </c>
      <c r="C347" s="20">
        <v>65</v>
      </c>
      <c r="D347" s="20">
        <v>51.76</v>
      </c>
      <c r="E347" s="20">
        <v>13.24</v>
      </c>
      <c r="F347" s="20">
        <v>-0.28000000000000003</v>
      </c>
      <c r="G347" s="20">
        <v>3088.15</v>
      </c>
      <c r="H347" s="20"/>
      <c r="I347" s="20"/>
      <c r="J347" s="20"/>
      <c r="K347" s="20"/>
    </row>
    <row r="348" spans="1:11" ht="19.5" customHeight="1" x14ac:dyDescent="0.3">
      <c r="A348" s="22">
        <v>46045.616562175928</v>
      </c>
      <c r="B348" s="25">
        <v>34.200000000000003</v>
      </c>
      <c r="C348" s="20">
        <v>65</v>
      </c>
      <c r="D348" s="20">
        <v>51.98</v>
      </c>
      <c r="E348" s="20">
        <v>13.02</v>
      </c>
      <c r="F348" s="20">
        <v>-0.22</v>
      </c>
      <c r="G348" s="20">
        <v>3028.45</v>
      </c>
      <c r="H348" s="20"/>
      <c r="I348" s="20"/>
      <c r="J348" s="20"/>
      <c r="K348" s="20"/>
    </row>
    <row r="349" spans="1:11" ht="19.5" customHeight="1" x14ac:dyDescent="0.3">
      <c r="A349" s="22">
        <v>46045.616563356481</v>
      </c>
      <c r="B349" s="20">
        <v>34.299999999999997</v>
      </c>
      <c r="C349" s="20">
        <v>65</v>
      </c>
      <c r="D349" s="20">
        <v>52.27</v>
      </c>
      <c r="E349" s="20">
        <v>12.73</v>
      </c>
      <c r="F349" s="20">
        <v>-0.28999999999999998</v>
      </c>
      <c r="G349" s="20">
        <v>3061.75</v>
      </c>
      <c r="H349" s="20"/>
      <c r="I349" s="20"/>
      <c r="J349" s="20"/>
      <c r="K349" s="20"/>
    </row>
    <row r="350" spans="1:11" ht="19.5" customHeight="1" x14ac:dyDescent="0.3">
      <c r="A350" s="22">
        <v>46045.616564490738</v>
      </c>
      <c r="B350" s="25">
        <v>34.4</v>
      </c>
      <c r="C350" s="20">
        <v>65</v>
      </c>
      <c r="D350" s="20">
        <v>52.57</v>
      </c>
      <c r="E350" s="20">
        <v>12.43</v>
      </c>
      <c r="F350" s="20">
        <v>-0.3</v>
      </c>
      <c r="G350" s="20">
        <v>3089.42</v>
      </c>
      <c r="H350" s="20"/>
      <c r="I350" s="20"/>
      <c r="J350" s="20"/>
      <c r="K350" s="20"/>
    </row>
    <row r="351" spans="1:11" ht="19.5" customHeight="1" x14ac:dyDescent="0.3">
      <c r="A351" s="22">
        <v>46045.616565648146</v>
      </c>
      <c r="B351" s="25">
        <v>34.5</v>
      </c>
      <c r="C351" s="20">
        <v>65</v>
      </c>
      <c r="D351" s="20">
        <v>52.9</v>
      </c>
      <c r="E351" s="20">
        <v>12.1</v>
      </c>
      <c r="F351" s="20">
        <v>-0.33</v>
      </c>
      <c r="G351" s="20">
        <v>3135.14</v>
      </c>
      <c r="H351" s="20"/>
      <c r="I351" s="20"/>
      <c r="J351" s="20"/>
      <c r="K351" s="20"/>
    </row>
    <row r="352" spans="1:11" ht="19.5" customHeight="1" x14ac:dyDescent="0.3">
      <c r="A352" s="22">
        <v>46045.616566817131</v>
      </c>
      <c r="B352" s="20">
        <v>34.6</v>
      </c>
      <c r="C352" s="20">
        <v>65</v>
      </c>
      <c r="D352" s="20">
        <v>53.21</v>
      </c>
      <c r="E352" s="20">
        <v>11.79</v>
      </c>
      <c r="F352" s="20">
        <v>-0.31</v>
      </c>
      <c r="G352" s="20">
        <v>3103.03</v>
      </c>
      <c r="H352" s="20"/>
      <c r="I352" s="20"/>
      <c r="J352" s="20"/>
      <c r="K352" s="20"/>
    </row>
    <row r="353" spans="1:11" ht="19.5" customHeight="1" x14ac:dyDescent="0.3">
      <c r="A353" s="22">
        <v>46045.616567997684</v>
      </c>
      <c r="B353" s="25">
        <v>34.700000000000003</v>
      </c>
      <c r="C353" s="20">
        <v>65</v>
      </c>
      <c r="D353" s="20">
        <v>53.5</v>
      </c>
      <c r="E353" s="20">
        <v>11.5</v>
      </c>
      <c r="F353" s="20">
        <v>-0.28999999999999998</v>
      </c>
      <c r="G353" s="20">
        <v>3075.49</v>
      </c>
      <c r="H353" s="20"/>
      <c r="I353" s="20"/>
      <c r="J353" s="20"/>
      <c r="K353" s="20"/>
    </row>
    <row r="354" spans="1:11" ht="19.5" customHeight="1" x14ac:dyDescent="0.3">
      <c r="A354" s="22">
        <v>46045.616569120371</v>
      </c>
      <c r="B354" s="25">
        <v>34.799999999999997</v>
      </c>
      <c r="C354" s="20">
        <v>65</v>
      </c>
      <c r="D354" s="20">
        <v>53.87</v>
      </c>
      <c r="E354" s="20">
        <v>11.13</v>
      </c>
      <c r="F354" s="20">
        <v>-0.36</v>
      </c>
      <c r="G354" s="20">
        <v>3186.27</v>
      </c>
      <c r="H354" s="20"/>
      <c r="I354" s="20"/>
      <c r="J354" s="20"/>
      <c r="K354" s="20"/>
    </row>
    <row r="355" spans="1:11" ht="19.5" customHeight="1" x14ac:dyDescent="0.3">
      <c r="A355" s="22">
        <v>46045.61657027778</v>
      </c>
      <c r="B355" s="20">
        <v>34.9</v>
      </c>
      <c r="C355" s="20">
        <v>65</v>
      </c>
      <c r="D355" s="20">
        <v>54.17</v>
      </c>
      <c r="E355" s="20">
        <v>10.83</v>
      </c>
      <c r="F355" s="20">
        <v>-0.3</v>
      </c>
      <c r="G355" s="20">
        <v>3082.41</v>
      </c>
      <c r="H355" s="20"/>
      <c r="I355" s="20"/>
      <c r="J355" s="20"/>
      <c r="K355" s="20"/>
    </row>
    <row r="356" spans="1:11" ht="19.5" customHeight="1" x14ac:dyDescent="0.3">
      <c r="A356" s="22">
        <v>46045.616571435188</v>
      </c>
      <c r="B356" s="25">
        <v>35</v>
      </c>
      <c r="C356" s="20">
        <v>65</v>
      </c>
      <c r="D356" s="20">
        <v>54.51</v>
      </c>
      <c r="E356" s="20">
        <v>10.49</v>
      </c>
      <c r="F356" s="20">
        <v>-0.35</v>
      </c>
      <c r="G356" s="20">
        <v>3160.7</v>
      </c>
      <c r="H356" s="20"/>
      <c r="I356" s="20"/>
      <c r="J356" s="20"/>
      <c r="K356" s="20"/>
    </row>
    <row r="357" spans="1:11" ht="19.5" customHeight="1" x14ac:dyDescent="0.3">
      <c r="A357" s="22">
        <v>46045.616572592589</v>
      </c>
      <c r="B357" s="20">
        <v>35.1</v>
      </c>
      <c r="C357" s="20">
        <v>65</v>
      </c>
      <c r="D357" s="20">
        <v>54.83</v>
      </c>
      <c r="E357" s="20">
        <v>10.17</v>
      </c>
      <c r="F357" s="20">
        <v>-0.31</v>
      </c>
      <c r="G357" s="20">
        <v>3109.47</v>
      </c>
      <c r="H357" s="20"/>
      <c r="I357" s="20"/>
      <c r="J357" s="20"/>
      <c r="K357" s="20"/>
    </row>
    <row r="358" spans="1:11" ht="19.5" customHeight="1" x14ac:dyDescent="0.3">
      <c r="A358" s="22">
        <v>46045.616573807871</v>
      </c>
      <c r="B358" s="25">
        <v>35.200000000000003</v>
      </c>
      <c r="C358" s="20">
        <v>65</v>
      </c>
      <c r="D358" s="20">
        <v>55.17</v>
      </c>
      <c r="E358" s="20">
        <v>9.83</v>
      </c>
      <c r="F358" s="20">
        <v>-0.34</v>
      </c>
      <c r="G358" s="20">
        <v>3154.34</v>
      </c>
      <c r="H358" s="20"/>
      <c r="I358" s="20"/>
      <c r="J358" s="20"/>
      <c r="K358" s="20"/>
    </row>
    <row r="359" spans="1:11" ht="19.5" customHeight="1" x14ac:dyDescent="0.3">
      <c r="A359" s="22">
        <v>46045.616574907406</v>
      </c>
      <c r="B359" s="20">
        <v>35.299999999999997</v>
      </c>
      <c r="C359" s="20">
        <v>65</v>
      </c>
      <c r="D359" s="20">
        <v>55.45</v>
      </c>
      <c r="E359" s="20">
        <v>9.5500000000000007</v>
      </c>
      <c r="F359" s="20">
        <v>-0.28000000000000003</v>
      </c>
      <c r="G359" s="20">
        <v>3054.86</v>
      </c>
      <c r="H359" s="20"/>
      <c r="I359" s="20"/>
      <c r="J359" s="20"/>
      <c r="K359" s="20"/>
    </row>
    <row r="360" spans="1:11" ht="19.5" customHeight="1" x14ac:dyDescent="0.3">
      <c r="A360" s="22">
        <v>46045.616576064815</v>
      </c>
      <c r="B360" s="25">
        <v>35.4</v>
      </c>
      <c r="C360" s="20">
        <v>65</v>
      </c>
      <c r="D360" s="20">
        <v>55.85</v>
      </c>
      <c r="E360" s="20">
        <v>9.15</v>
      </c>
      <c r="F360" s="20">
        <v>-0.39</v>
      </c>
      <c r="G360" s="20">
        <v>3237.21</v>
      </c>
      <c r="H360" s="20"/>
      <c r="I360" s="20"/>
      <c r="J360" s="20"/>
      <c r="K360" s="20"/>
    </row>
    <row r="361" spans="1:11" ht="19.5" customHeight="1" x14ac:dyDescent="0.3">
      <c r="A361" s="22">
        <v>46045.616577210647</v>
      </c>
      <c r="B361" s="25">
        <v>35.5</v>
      </c>
      <c r="C361" s="20">
        <v>65</v>
      </c>
      <c r="D361" s="20">
        <v>56.18</v>
      </c>
      <c r="E361" s="20">
        <v>8.82</v>
      </c>
      <c r="F361" s="20">
        <v>-0.33</v>
      </c>
      <c r="G361" s="20">
        <v>3135.16</v>
      </c>
      <c r="H361" s="20"/>
      <c r="I361" s="20"/>
      <c r="J361" s="20"/>
      <c r="K361" s="20"/>
    </row>
    <row r="362" spans="1:11" ht="19.5" customHeight="1" x14ac:dyDescent="0.3">
      <c r="A362" s="22">
        <v>46045.616578379631</v>
      </c>
      <c r="B362" s="20">
        <v>35.6</v>
      </c>
      <c r="C362" s="20">
        <v>65</v>
      </c>
      <c r="D362" s="20">
        <v>56.5</v>
      </c>
      <c r="E362" s="20">
        <v>8.5</v>
      </c>
      <c r="F362" s="20">
        <v>-0.33</v>
      </c>
      <c r="G362" s="20">
        <v>3128.71</v>
      </c>
      <c r="H362" s="20"/>
      <c r="I362" s="20"/>
      <c r="J362" s="20"/>
      <c r="K362" s="20"/>
    </row>
    <row r="363" spans="1:11" ht="19.5" customHeight="1" x14ac:dyDescent="0.3">
      <c r="A363" s="22">
        <v>46045.61657953704</v>
      </c>
      <c r="B363" s="25">
        <v>35.700000000000003</v>
      </c>
      <c r="C363" s="20">
        <v>65</v>
      </c>
      <c r="D363" s="20">
        <v>56.81</v>
      </c>
      <c r="E363" s="20">
        <v>8.19</v>
      </c>
      <c r="F363" s="20">
        <v>-0.31</v>
      </c>
      <c r="G363" s="20">
        <v>3096.39</v>
      </c>
      <c r="H363" s="20"/>
      <c r="I363" s="20"/>
      <c r="J363" s="20"/>
      <c r="K363" s="20"/>
    </row>
    <row r="364" spans="1:11" ht="19.5" customHeight="1" x14ac:dyDescent="0.3">
      <c r="A364" s="22">
        <v>46045.616580694441</v>
      </c>
      <c r="B364" s="20">
        <v>35.799999999999997</v>
      </c>
      <c r="C364" s="20">
        <v>65</v>
      </c>
      <c r="D364" s="20">
        <v>57.17</v>
      </c>
      <c r="E364" s="20">
        <v>7.83</v>
      </c>
      <c r="F364" s="20">
        <v>-0.36</v>
      </c>
      <c r="G364" s="20">
        <v>3179.88</v>
      </c>
      <c r="H364" s="20"/>
      <c r="I364" s="20"/>
      <c r="J364" s="20"/>
      <c r="K364" s="20"/>
    </row>
    <row r="365" spans="1:11" ht="19.5" customHeight="1" x14ac:dyDescent="0.3">
      <c r="A365" s="22">
        <v>46045.616581863425</v>
      </c>
      <c r="B365" s="25">
        <v>35.9</v>
      </c>
      <c r="C365" s="20">
        <v>65</v>
      </c>
      <c r="D365" s="20">
        <v>57.52</v>
      </c>
      <c r="E365" s="20">
        <v>7.48</v>
      </c>
      <c r="F365" s="20">
        <v>-0.35</v>
      </c>
      <c r="G365" s="20">
        <v>3167.09</v>
      </c>
      <c r="H365" s="20"/>
      <c r="I365" s="20"/>
      <c r="J365" s="20"/>
      <c r="K365" s="20"/>
    </row>
    <row r="366" spans="1:11" ht="19.5" customHeight="1" x14ac:dyDescent="0.3">
      <c r="A366" s="22">
        <v>46045.616583009258</v>
      </c>
      <c r="B366" s="20">
        <v>36</v>
      </c>
      <c r="C366" s="20">
        <v>65</v>
      </c>
      <c r="D366" s="20">
        <v>57.85</v>
      </c>
      <c r="E366" s="20">
        <v>7.15</v>
      </c>
      <c r="F366" s="20">
        <v>-0.33</v>
      </c>
      <c r="G366" s="20">
        <v>3141.53</v>
      </c>
      <c r="H366" s="20"/>
      <c r="I366" s="20"/>
      <c r="J366" s="20"/>
      <c r="K366" s="20"/>
    </row>
    <row r="367" spans="1:11" ht="19.5" customHeight="1" x14ac:dyDescent="0.3">
      <c r="A367" s="22">
        <v>46045.616584166666</v>
      </c>
      <c r="B367" s="25">
        <v>36.1</v>
      </c>
      <c r="C367" s="20">
        <v>65</v>
      </c>
      <c r="D367" s="20">
        <v>58.2</v>
      </c>
      <c r="E367" s="20">
        <v>6.8</v>
      </c>
      <c r="F367" s="20">
        <v>-0.35</v>
      </c>
      <c r="G367" s="20">
        <v>3167.11</v>
      </c>
      <c r="H367" s="20"/>
      <c r="I367" s="20"/>
      <c r="J367" s="20"/>
      <c r="K367" s="20"/>
    </row>
    <row r="368" spans="1:11" ht="19.5" customHeight="1" x14ac:dyDescent="0.3">
      <c r="A368" s="22">
        <v>46045.616585335651</v>
      </c>
      <c r="B368" s="25">
        <v>36.200000000000003</v>
      </c>
      <c r="C368" s="20">
        <v>65</v>
      </c>
      <c r="D368" s="20">
        <v>58.5</v>
      </c>
      <c r="E368" s="20">
        <v>6.5</v>
      </c>
      <c r="F368" s="20">
        <v>-0.3</v>
      </c>
      <c r="G368" s="20">
        <v>3082.43</v>
      </c>
      <c r="H368" s="20"/>
      <c r="I368" s="20"/>
      <c r="J368" s="20"/>
      <c r="K368" s="20"/>
    </row>
    <row r="369" spans="1:11" ht="19.5" customHeight="1" x14ac:dyDescent="0.3">
      <c r="A369" s="22">
        <v>46045.616586469907</v>
      </c>
      <c r="B369" s="20">
        <v>36.299999999999997</v>
      </c>
      <c r="C369" s="20">
        <v>65</v>
      </c>
      <c r="D369" s="20">
        <v>58.84</v>
      </c>
      <c r="E369" s="20">
        <v>6.16</v>
      </c>
      <c r="F369" s="20">
        <v>-0.34</v>
      </c>
      <c r="G369" s="20">
        <v>3154.31</v>
      </c>
      <c r="H369" s="20"/>
      <c r="I369" s="20"/>
      <c r="J369" s="20"/>
      <c r="K369" s="20"/>
    </row>
    <row r="370" spans="1:11" ht="19.5" customHeight="1" x14ac:dyDescent="0.3">
      <c r="A370" s="22">
        <v>46045.616587673612</v>
      </c>
      <c r="B370" s="25">
        <v>36.4</v>
      </c>
      <c r="C370" s="20">
        <v>65</v>
      </c>
      <c r="D370" s="20">
        <v>59.15</v>
      </c>
      <c r="E370" s="20">
        <v>5.85</v>
      </c>
      <c r="F370" s="20">
        <v>-0.31</v>
      </c>
      <c r="G370" s="20">
        <v>3103.06</v>
      </c>
      <c r="H370" s="20"/>
      <c r="I370" s="20"/>
      <c r="J370" s="20"/>
      <c r="K370" s="20"/>
    </row>
    <row r="371" spans="1:11" ht="19.5" customHeight="1" x14ac:dyDescent="0.3">
      <c r="A371" s="22">
        <v>46045.616588784724</v>
      </c>
      <c r="B371" s="20">
        <v>36.5</v>
      </c>
      <c r="C371" s="20">
        <v>65</v>
      </c>
      <c r="D371" s="20">
        <v>59.48</v>
      </c>
      <c r="E371" s="20">
        <v>5.52</v>
      </c>
      <c r="F371" s="20">
        <v>-0.33</v>
      </c>
      <c r="G371" s="20">
        <v>3135.13</v>
      </c>
      <c r="H371" s="20"/>
      <c r="I371" s="20"/>
      <c r="J371" s="20"/>
      <c r="K371" s="20"/>
    </row>
    <row r="372" spans="1:11" ht="19.5" customHeight="1" x14ac:dyDescent="0.3">
      <c r="A372" s="22">
        <v>46045.616589965277</v>
      </c>
      <c r="B372" s="25">
        <v>36.6</v>
      </c>
      <c r="C372" s="20">
        <v>65</v>
      </c>
      <c r="D372" s="20">
        <v>59.79</v>
      </c>
      <c r="E372" s="20">
        <v>5.21</v>
      </c>
      <c r="F372" s="20">
        <v>-0.31</v>
      </c>
      <c r="G372" s="20">
        <v>3103.03</v>
      </c>
      <c r="H372" s="20"/>
      <c r="I372" s="20"/>
      <c r="J372" s="20"/>
      <c r="K372" s="20"/>
    </row>
    <row r="373" spans="1:11" ht="19.5" customHeight="1" x14ac:dyDescent="0.3">
      <c r="A373" s="22">
        <v>46045.616591122685</v>
      </c>
      <c r="B373" s="25">
        <v>36.700000000000003</v>
      </c>
      <c r="C373" s="20">
        <v>65</v>
      </c>
      <c r="D373" s="20">
        <v>60.08</v>
      </c>
      <c r="E373" s="20">
        <v>4.92</v>
      </c>
      <c r="F373" s="20">
        <v>-0.28999999999999998</v>
      </c>
      <c r="G373" s="20">
        <v>3068.59</v>
      </c>
      <c r="H373" s="20"/>
      <c r="I373" s="20"/>
      <c r="J373" s="20"/>
      <c r="K373" s="20"/>
    </row>
    <row r="374" spans="1:11" ht="19.5" customHeight="1" x14ac:dyDescent="0.3">
      <c r="A374" s="22">
        <v>46045.616592268518</v>
      </c>
      <c r="B374" s="20">
        <v>36.799999999999997</v>
      </c>
      <c r="C374" s="20">
        <v>65</v>
      </c>
      <c r="D374" s="20">
        <v>60.39</v>
      </c>
      <c r="E374" s="20">
        <v>4.6100000000000003</v>
      </c>
      <c r="F374" s="20">
        <v>-0.31</v>
      </c>
      <c r="G374" s="20">
        <v>3103.06</v>
      </c>
      <c r="H374" s="20"/>
      <c r="I374" s="20"/>
      <c r="J374" s="20"/>
      <c r="K374" s="20"/>
    </row>
    <row r="375" spans="1:11" ht="19.5" customHeight="1" x14ac:dyDescent="0.3">
      <c r="A375" s="22">
        <v>46045.61659341435</v>
      </c>
      <c r="B375" s="25">
        <v>36.9</v>
      </c>
      <c r="C375" s="20">
        <v>65</v>
      </c>
      <c r="D375" s="20">
        <v>60.66</v>
      </c>
      <c r="E375" s="20">
        <v>4.34</v>
      </c>
      <c r="F375" s="20">
        <v>-0.27</v>
      </c>
      <c r="G375" s="20">
        <v>3034.5</v>
      </c>
      <c r="H375" s="20"/>
      <c r="I375" s="20"/>
      <c r="J375" s="20"/>
      <c r="K375" s="20"/>
    </row>
    <row r="376" spans="1:11" ht="19.5" customHeight="1" x14ac:dyDescent="0.3">
      <c r="A376" s="22">
        <v>46045.616594618055</v>
      </c>
      <c r="B376" s="20">
        <v>37</v>
      </c>
      <c r="C376" s="20">
        <v>65</v>
      </c>
      <c r="D376" s="20">
        <v>61</v>
      </c>
      <c r="E376" s="20">
        <v>4</v>
      </c>
      <c r="F376" s="20">
        <v>-0.33</v>
      </c>
      <c r="G376" s="20">
        <v>3135.13</v>
      </c>
      <c r="H376" s="20"/>
      <c r="I376" s="20"/>
      <c r="J376" s="20"/>
      <c r="K376" s="20"/>
    </row>
    <row r="377" spans="1:11" ht="19.5" customHeight="1" x14ac:dyDescent="0.3">
      <c r="A377" s="22">
        <v>46045.616595752312</v>
      </c>
      <c r="B377" s="25">
        <v>37.1</v>
      </c>
      <c r="C377" s="20">
        <v>65</v>
      </c>
      <c r="D377" s="20">
        <v>61.25</v>
      </c>
      <c r="E377" s="20">
        <v>3.75</v>
      </c>
      <c r="F377" s="20">
        <v>-0.25</v>
      </c>
      <c r="G377" s="20">
        <v>3000.98</v>
      </c>
      <c r="H377" s="20"/>
      <c r="I377" s="20"/>
      <c r="J377" s="20"/>
      <c r="K377" s="20"/>
    </row>
    <row r="378" spans="1:11" ht="19.5" customHeight="1" x14ac:dyDescent="0.3">
      <c r="A378" s="22">
        <v>46045.61659690972</v>
      </c>
      <c r="B378" s="20">
        <v>37.200000000000003</v>
      </c>
      <c r="C378" s="20">
        <v>65</v>
      </c>
      <c r="D378" s="20">
        <v>61.58</v>
      </c>
      <c r="E378" s="20">
        <v>3.42</v>
      </c>
      <c r="F378" s="20">
        <v>-0.33</v>
      </c>
      <c r="G378" s="20">
        <v>3135.13</v>
      </c>
      <c r="H378" s="20"/>
      <c r="I378" s="20"/>
      <c r="J378" s="20"/>
      <c r="K378" s="20"/>
    </row>
    <row r="379" spans="1:11" ht="19.5" customHeight="1" x14ac:dyDescent="0.3">
      <c r="A379" s="22">
        <v>46045.616598055552</v>
      </c>
      <c r="B379" s="25">
        <v>37.299999999999997</v>
      </c>
      <c r="C379" s="20">
        <v>65</v>
      </c>
      <c r="D379" s="20">
        <v>61.87</v>
      </c>
      <c r="E379" s="20">
        <v>3.13</v>
      </c>
      <c r="F379" s="20">
        <v>-0.28999999999999998</v>
      </c>
      <c r="G379" s="20">
        <v>3068.58</v>
      </c>
      <c r="H379" s="20"/>
      <c r="I379" s="20"/>
      <c r="J379" s="20"/>
      <c r="K379" s="20"/>
    </row>
    <row r="380" spans="1:11" ht="19.5" customHeight="1" x14ac:dyDescent="0.3">
      <c r="A380" s="22">
        <v>46045.616599224537</v>
      </c>
      <c r="B380" s="25">
        <v>37.4</v>
      </c>
      <c r="C380" s="20">
        <v>65</v>
      </c>
      <c r="D380" s="20">
        <v>62.19</v>
      </c>
      <c r="E380" s="20">
        <v>2.81</v>
      </c>
      <c r="F380" s="20">
        <v>-0.32</v>
      </c>
      <c r="G380" s="20">
        <v>3122.34</v>
      </c>
      <c r="H380" s="20"/>
      <c r="I380" s="20"/>
      <c r="J380" s="20"/>
      <c r="K380" s="20"/>
    </row>
    <row r="381" spans="1:11" ht="19.5" customHeight="1" x14ac:dyDescent="0.3">
      <c r="A381" s="22">
        <v>46045.61660040509</v>
      </c>
      <c r="B381" s="20">
        <v>37.5</v>
      </c>
      <c r="C381" s="20">
        <v>65</v>
      </c>
      <c r="D381" s="20">
        <v>62.46</v>
      </c>
      <c r="E381" s="20">
        <v>2.54</v>
      </c>
      <c r="F381" s="20">
        <v>-0.27</v>
      </c>
      <c r="G381" s="20">
        <v>3034.5</v>
      </c>
      <c r="H381" s="20"/>
      <c r="I381" s="20"/>
      <c r="J381" s="20"/>
      <c r="K381" s="20"/>
    </row>
    <row r="382" spans="1:11" ht="19.5" customHeight="1" x14ac:dyDescent="0.3">
      <c r="A382" s="22">
        <v>46045.616601539354</v>
      </c>
      <c r="B382" s="25">
        <v>37.6</v>
      </c>
      <c r="C382" s="20">
        <v>65</v>
      </c>
      <c r="D382" s="20">
        <v>62.76</v>
      </c>
      <c r="E382" s="20">
        <v>2.2400000000000002</v>
      </c>
      <c r="F382" s="20">
        <v>-0.3</v>
      </c>
      <c r="G382" s="20">
        <v>3089.39</v>
      </c>
      <c r="H382" s="20"/>
      <c r="I382" s="20"/>
      <c r="J382" s="20"/>
      <c r="K382" s="20"/>
    </row>
    <row r="383" spans="1:11" ht="19.5" customHeight="1" x14ac:dyDescent="0.3">
      <c r="A383" s="22">
        <v>46045.616602708331</v>
      </c>
      <c r="B383" s="20">
        <v>37.700000000000003</v>
      </c>
      <c r="C383" s="20">
        <v>65</v>
      </c>
      <c r="D383" s="20">
        <v>63.01</v>
      </c>
      <c r="E383" s="20">
        <v>1.99</v>
      </c>
      <c r="F383" s="20">
        <v>-0.25</v>
      </c>
      <c r="G383" s="20">
        <v>3007.65</v>
      </c>
      <c r="H383" s="20"/>
      <c r="I383" s="20"/>
      <c r="J383" s="20"/>
      <c r="K383" s="20"/>
    </row>
    <row r="384" spans="1:11" ht="19.5" customHeight="1" x14ac:dyDescent="0.3">
      <c r="A384" s="22">
        <v>46045.616603865739</v>
      </c>
      <c r="B384" s="25">
        <v>37.799999999999997</v>
      </c>
      <c r="C384" s="20">
        <v>65</v>
      </c>
      <c r="D384" s="20">
        <v>63.3</v>
      </c>
      <c r="E384" s="20">
        <v>1.7</v>
      </c>
      <c r="F384" s="20">
        <v>-0.28000000000000003</v>
      </c>
      <c r="G384" s="20">
        <v>2829.93</v>
      </c>
      <c r="H384" s="20"/>
      <c r="I384" s="20"/>
      <c r="J384" s="20"/>
      <c r="K384" s="20"/>
    </row>
    <row r="385" spans="1:11" ht="19.5" customHeight="1" x14ac:dyDescent="0.3">
      <c r="A385" s="22">
        <v>46045.616605023148</v>
      </c>
      <c r="B385" s="20">
        <v>37.9</v>
      </c>
      <c r="C385" s="20">
        <v>65</v>
      </c>
      <c r="D385" s="20">
        <v>63.6</v>
      </c>
      <c r="E385" s="20">
        <v>1.4</v>
      </c>
      <c r="F385" s="20">
        <v>-0.3</v>
      </c>
      <c r="G385" s="20">
        <v>2550</v>
      </c>
      <c r="H385" s="20"/>
      <c r="I385" s="20"/>
      <c r="J385" s="20"/>
      <c r="K385" s="20"/>
    </row>
    <row r="386" spans="1:11" ht="19.5" customHeight="1" x14ac:dyDescent="0.3">
      <c r="A386" s="22">
        <v>46045.616606145835</v>
      </c>
      <c r="B386" s="25">
        <v>38</v>
      </c>
      <c r="C386" s="20">
        <v>65</v>
      </c>
      <c r="D386" s="20">
        <v>63.82</v>
      </c>
      <c r="E386" s="20">
        <v>1.18</v>
      </c>
      <c r="F386" s="20">
        <v>-0.22</v>
      </c>
      <c r="G386" s="20">
        <v>2550</v>
      </c>
      <c r="H386" s="20"/>
      <c r="I386" s="20"/>
      <c r="J386" s="20"/>
      <c r="K386" s="20"/>
    </row>
    <row r="387" spans="1:11" ht="19.5" customHeight="1" x14ac:dyDescent="0.3">
      <c r="A387" s="22">
        <v>46045.616607314812</v>
      </c>
      <c r="B387" s="25">
        <v>38.1</v>
      </c>
      <c r="C387" s="20">
        <v>65</v>
      </c>
      <c r="D387" s="20">
        <v>64.13</v>
      </c>
      <c r="E387" s="20">
        <v>0.87</v>
      </c>
      <c r="F387" s="20">
        <v>-0.31</v>
      </c>
      <c r="G387" s="20">
        <v>2550</v>
      </c>
      <c r="H387" s="20"/>
      <c r="I387" s="20"/>
      <c r="J387" s="20"/>
      <c r="K387" s="20"/>
    </row>
    <row r="388" spans="1:11" ht="19.5" customHeight="1" x14ac:dyDescent="0.3">
      <c r="A388" s="22">
        <v>46045.616608483797</v>
      </c>
      <c r="B388" s="20">
        <v>38.200000000000003</v>
      </c>
      <c r="C388" s="20">
        <v>65</v>
      </c>
      <c r="D388" s="20">
        <v>64.39</v>
      </c>
      <c r="E388" s="20">
        <v>0.61</v>
      </c>
      <c r="F388" s="20">
        <v>-0.27</v>
      </c>
      <c r="G388" s="20">
        <v>2279.94</v>
      </c>
      <c r="H388" s="20"/>
      <c r="I388" s="20"/>
      <c r="J388" s="20"/>
      <c r="K388" s="20"/>
    </row>
    <row r="389" spans="1:11" ht="19.5" customHeight="1" x14ac:dyDescent="0.3">
      <c r="A389" s="22">
        <v>46045.616609652781</v>
      </c>
      <c r="B389" s="25">
        <v>38.299999999999997</v>
      </c>
      <c r="C389" s="20">
        <v>65</v>
      </c>
      <c r="D389" s="20">
        <v>64.61</v>
      </c>
      <c r="E389" s="20">
        <v>0.39</v>
      </c>
      <c r="F389" s="20">
        <v>-0.22</v>
      </c>
      <c r="G389" s="20">
        <v>2089.59</v>
      </c>
      <c r="H389" s="20"/>
      <c r="I389" s="20"/>
      <c r="J389" s="20"/>
      <c r="K389" s="20"/>
    </row>
    <row r="390" spans="1:11" ht="19.5" customHeight="1" x14ac:dyDescent="0.3">
      <c r="A390" s="22">
        <v>46045.616610798614</v>
      </c>
      <c r="B390" s="20">
        <v>38.4</v>
      </c>
      <c r="C390" s="20">
        <v>65</v>
      </c>
      <c r="D390" s="20">
        <v>64.88</v>
      </c>
      <c r="E390" s="20">
        <v>0.12</v>
      </c>
      <c r="F390" s="20">
        <v>-0.27</v>
      </c>
      <c r="G390" s="20">
        <v>1930.97</v>
      </c>
      <c r="H390" s="20"/>
      <c r="I390" s="20"/>
      <c r="J390" s="20"/>
      <c r="K390" s="20"/>
    </row>
    <row r="391" spans="1:11" ht="19.5" customHeight="1" x14ac:dyDescent="0.3">
      <c r="A391" s="22">
        <v>46045.616611956022</v>
      </c>
      <c r="B391" s="25">
        <v>38.5</v>
      </c>
      <c r="C391" s="20">
        <v>65</v>
      </c>
      <c r="D391" s="20">
        <v>65.069999999999993</v>
      </c>
      <c r="E391" s="20">
        <v>-7.0000000000000007E-2</v>
      </c>
      <c r="F391" s="20">
        <v>-0.19</v>
      </c>
      <c r="G391" s="20">
        <v>1760.09</v>
      </c>
      <c r="H391" s="20"/>
      <c r="I391" s="20"/>
      <c r="J391" s="20"/>
      <c r="K391" s="20"/>
    </row>
    <row r="392" spans="1:11" ht="19.5" customHeight="1" x14ac:dyDescent="0.3">
      <c r="A392" s="22">
        <v>46045.616613113423</v>
      </c>
      <c r="B392" s="25">
        <v>38.6</v>
      </c>
      <c r="C392" s="20">
        <v>65</v>
      </c>
      <c r="D392" s="20">
        <v>65.3</v>
      </c>
      <c r="E392" s="20">
        <v>-0.3</v>
      </c>
      <c r="F392" s="20">
        <v>-0.23</v>
      </c>
      <c r="G392" s="20">
        <v>1636.17</v>
      </c>
      <c r="H392" s="20"/>
      <c r="I392" s="20"/>
      <c r="J392" s="20"/>
      <c r="K392" s="20"/>
    </row>
    <row r="393" spans="1:11" ht="19.5" customHeight="1" x14ac:dyDescent="0.3">
      <c r="A393" s="22">
        <v>46045.616614293984</v>
      </c>
      <c r="B393" s="20">
        <v>38.700000000000003</v>
      </c>
      <c r="C393" s="20">
        <v>65</v>
      </c>
      <c r="D393" s="20">
        <v>65.540000000000006</v>
      </c>
      <c r="E393" s="20">
        <v>-0.54</v>
      </c>
      <c r="F393" s="20">
        <v>-0.24</v>
      </c>
      <c r="G393" s="20">
        <v>1458.62</v>
      </c>
      <c r="H393" s="20"/>
      <c r="I393" s="20"/>
      <c r="J393" s="20"/>
      <c r="K393" s="20"/>
    </row>
    <row r="394" spans="1:11" ht="19.5" customHeight="1" x14ac:dyDescent="0.3">
      <c r="A394" s="22">
        <v>46045.61661542824</v>
      </c>
      <c r="B394" s="25">
        <v>38.799999999999997</v>
      </c>
      <c r="C394" s="20">
        <v>65</v>
      </c>
      <c r="D394" s="20">
        <v>65.48</v>
      </c>
      <c r="E394" s="20">
        <v>-0.48</v>
      </c>
      <c r="F394" s="20">
        <v>0.06</v>
      </c>
      <c r="G394" s="20">
        <v>1522.96</v>
      </c>
      <c r="H394" s="20"/>
      <c r="I394" s="20"/>
      <c r="J394" s="20"/>
      <c r="K394" s="20"/>
    </row>
    <row r="395" spans="1:11" ht="19.5" customHeight="1" x14ac:dyDescent="0.3">
      <c r="A395" s="22">
        <v>46045.616616597224</v>
      </c>
      <c r="B395" s="20">
        <v>38.9</v>
      </c>
      <c r="C395" s="20">
        <v>65</v>
      </c>
      <c r="D395" s="20">
        <v>65.62</v>
      </c>
      <c r="E395" s="20">
        <v>-0.62</v>
      </c>
      <c r="F395" s="20">
        <v>-0.14000000000000001</v>
      </c>
      <c r="G395" s="20">
        <v>1339.63</v>
      </c>
      <c r="H395" s="20"/>
      <c r="I395" s="20"/>
      <c r="J395" s="20"/>
      <c r="K395" s="20"/>
    </row>
    <row r="396" spans="1:11" ht="19.5" customHeight="1" x14ac:dyDescent="0.3">
      <c r="A396" s="22">
        <v>46045.616617731481</v>
      </c>
      <c r="B396" s="25">
        <v>39</v>
      </c>
      <c r="C396" s="20">
        <v>65</v>
      </c>
      <c r="D396" s="20">
        <v>65.83</v>
      </c>
      <c r="E396" s="20">
        <v>-0.83</v>
      </c>
      <c r="F396" s="20">
        <v>-0.21</v>
      </c>
      <c r="G396" s="20">
        <v>223.81</v>
      </c>
      <c r="H396" s="20"/>
      <c r="I396" s="20"/>
      <c r="J396" s="20"/>
      <c r="K396" s="20"/>
    </row>
    <row r="397" spans="1:11" ht="19.5" customHeight="1" x14ac:dyDescent="0.3">
      <c r="A397" s="22">
        <v>46045.616618888889</v>
      </c>
      <c r="B397" s="25">
        <v>39.1</v>
      </c>
      <c r="C397" s="20">
        <v>65</v>
      </c>
      <c r="D397" s="20">
        <v>65.89</v>
      </c>
      <c r="E397" s="20">
        <v>-0.89</v>
      </c>
      <c r="F397" s="20">
        <v>-0.06</v>
      </c>
      <c r="G397" s="20">
        <v>223.75</v>
      </c>
      <c r="H397" s="20"/>
      <c r="I397" s="20"/>
      <c r="J397" s="20"/>
      <c r="K397" s="20"/>
    </row>
    <row r="398" spans="1:11" ht="19.5" customHeight="1" x14ac:dyDescent="0.3">
      <c r="A398" s="22">
        <v>46045.616620081018</v>
      </c>
      <c r="B398" s="20">
        <v>39.200000000000003</v>
      </c>
      <c r="C398" s="20">
        <v>65</v>
      </c>
      <c r="D398" s="20">
        <v>65.989999999999995</v>
      </c>
      <c r="E398" s="20">
        <v>-0.99</v>
      </c>
      <c r="F398" s="20">
        <v>-0.1</v>
      </c>
      <c r="G398" s="20">
        <v>223.64</v>
      </c>
      <c r="H398" s="20"/>
      <c r="I398" s="20"/>
      <c r="J398" s="20"/>
      <c r="K398" s="20"/>
    </row>
    <row r="399" spans="1:11" ht="19.5" customHeight="1" x14ac:dyDescent="0.3">
      <c r="A399" s="22">
        <v>46045.61662119213</v>
      </c>
      <c r="B399" s="25">
        <v>39.299999999999997</v>
      </c>
      <c r="C399" s="20">
        <v>65</v>
      </c>
      <c r="D399" s="20">
        <v>65.98</v>
      </c>
      <c r="E399" s="20">
        <v>-0.98</v>
      </c>
      <c r="F399" s="20">
        <v>0.01</v>
      </c>
      <c r="G399" s="20">
        <v>223.65</v>
      </c>
      <c r="H399" s="20"/>
      <c r="I399" s="20"/>
      <c r="J399" s="20"/>
      <c r="K399" s="20"/>
    </row>
    <row r="400" spans="1:11" ht="19.5" customHeight="1" x14ac:dyDescent="0.3">
      <c r="A400" s="22">
        <v>46045.616622395835</v>
      </c>
      <c r="B400" s="25">
        <v>39.4</v>
      </c>
      <c r="C400" s="20">
        <v>65</v>
      </c>
      <c r="D400" s="20">
        <v>66.040000000000006</v>
      </c>
      <c r="E400" s="20">
        <v>-1.04</v>
      </c>
      <c r="F400" s="20">
        <v>-0.06</v>
      </c>
      <c r="G400" s="20">
        <v>223.59</v>
      </c>
      <c r="H400" s="20"/>
      <c r="I400" s="20"/>
      <c r="J400" s="20"/>
      <c r="K400" s="20"/>
    </row>
    <row r="401" spans="1:11" ht="19.5" customHeight="1" x14ac:dyDescent="0.3">
      <c r="A401" s="22">
        <v>46045.616623518516</v>
      </c>
      <c r="B401" s="20">
        <v>39.5</v>
      </c>
      <c r="C401" s="20">
        <v>65</v>
      </c>
      <c r="D401" s="20">
        <v>66.010000000000005</v>
      </c>
      <c r="E401" s="20">
        <v>-1.01</v>
      </c>
      <c r="F401" s="20">
        <v>0.03</v>
      </c>
      <c r="G401" s="20">
        <v>223.62</v>
      </c>
      <c r="H401" s="20"/>
      <c r="I401" s="20"/>
      <c r="J401" s="20"/>
      <c r="K401" s="20"/>
    </row>
    <row r="402" spans="1:11" ht="19.5" customHeight="1" x14ac:dyDescent="0.3">
      <c r="A402" s="22">
        <v>46045.616624675924</v>
      </c>
      <c r="B402" s="25">
        <v>39.6</v>
      </c>
      <c r="C402" s="20">
        <v>65</v>
      </c>
      <c r="D402" s="20">
        <v>65.97</v>
      </c>
      <c r="E402" s="20">
        <v>-0.97</v>
      </c>
      <c r="F402" s="20">
        <v>0.04</v>
      </c>
      <c r="G402" s="20">
        <v>223.66</v>
      </c>
      <c r="H402" s="20"/>
      <c r="I402" s="20"/>
      <c r="J402" s="20"/>
      <c r="K402" s="20"/>
    </row>
    <row r="403" spans="1:11" ht="19.5" customHeight="1" x14ac:dyDescent="0.3">
      <c r="A403" s="22">
        <v>46045.616625833332</v>
      </c>
      <c r="B403" s="20">
        <v>39.700000000000003</v>
      </c>
      <c r="C403" s="20">
        <v>65</v>
      </c>
      <c r="D403" s="20">
        <v>65.84</v>
      </c>
      <c r="E403" s="20">
        <v>-0.84</v>
      </c>
      <c r="F403" s="20">
        <v>0.12</v>
      </c>
      <c r="G403" s="20">
        <v>223.8</v>
      </c>
      <c r="H403" s="20"/>
      <c r="I403" s="20"/>
      <c r="J403" s="20"/>
      <c r="K403" s="20"/>
    </row>
    <row r="404" spans="1:11" ht="19.5" customHeight="1" x14ac:dyDescent="0.3">
      <c r="A404" s="22">
        <v>46045.616627013886</v>
      </c>
      <c r="B404" s="25">
        <v>39.799999999999997</v>
      </c>
      <c r="C404" s="20">
        <v>65</v>
      </c>
      <c r="D404" s="20">
        <v>65.760000000000005</v>
      </c>
      <c r="E404" s="20">
        <v>-0.76</v>
      </c>
      <c r="F404" s="20">
        <v>0.08</v>
      </c>
      <c r="G404" s="20">
        <v>778.56</v>
      </c>
      <c r="H404" s="20"/>
      <c r="I404" s="20"/>
      <c r="J404" s="20"/>
      <c r="K404" s="20"/>
    </row>
    <row r="405" spans="1:11" ht="19.5" customHeight="1" x14ac:dyDescent="0.3">
      <c r="A405" s="22">
        <v>46045.616628159725</v>
      </c>
      <c r="B405" s="20">
        <v>39.9</v>
      </c>
      <c r="C405" s="20">
        <v>65</v>
      </c>
      <c r="D405" s="20">
        <v>65.56</v>
      </c>
      <c r="E405" s="20">
        <v>-0.56000000000000005</v>
      </c>
      <c r="F405" s="20">
        <v>0.2</v>
      </c>
      <c r="G405" s="20">
        <v>1443.28</v>
      </c>
      <c r="H405" s="20"/>
      <c r="I405" s="20"/>
      <c r="J405" s="20"/>
      <c r="K405" s="20"/>
    </row>
    <row r="406" spans="1:11" ht="19.5" customHeight="1" x14ac:dyDescent="0.3">
      <c r="A406" s="22">
        <v>46045.616629328702</v>
      </c>
      <c r="B406" s="25">
        <v>40</v>
      </c>
      <c r="C406" s="20">
        <v>65</v>
      </c>
      <c r="D406" s="20">
        <v>65.39</v>
      </c>
      <c r="E406" s="20">
        <v>-0.39</v>
      </c>
      <c r="F406" s="20">
        <v>0.17</v>
      </c>
      <c r="G406" s="20">
        <v>1598.33</v>
      </c>
      <c r="H406" s="20"/>
      <c r="I406" s="20"/>
      <c r="J406" s="20"/>
      <c r="K406" s="20"/>
    </row>
    <row r="407" spans="1:11" ht="19.5" customHeight="1" x14ac:dyDescent="0.3">
      <c r="A407" s="22">
        <v>46045.616630474535</v>
      </c>
      <c r="B407" s="25">
        <v>40.1</v>
      </c>
      <c r="C407" s="20">
        <v>65</v>
      </c>
      <c r="D407" s="20">
        <v>65.28</v>
      </c>
      <c r="E407" s="20">
        <v>-0.28000000000000003</v>
      </c>
      <c r="F407" s="20">
        <v>0.11</v>
      </c>
      <c r="G407" s="20">
        <v>1662.33</v>
      </c>
      <c r="H407" s="20"/>
      <c r="I407" s="20"/>
      <c r="J407" s="20"/>
      <c r="K407" s="20"/>
    </row>
    <row r="408" spans="1:11" ht="19.5" customHeight="1" x14ac:dyDescent="0.3">
      <c r="A408" s="22">
        <v>46045.616631655095</v>
      </c>
      <c r="B408" s="20">
        <v>40.200000000000003</v>
      </c>
      <c r="C408" s="20">
        <v>65</v>
      </c>
      <c r="D408" s="20">
        <v>65.12</v>
      </c>
      <c r="E408" s="20">
        <v>-0.12</v>
      </c>
      <c r="F408" s="20">
        <v>0.16</v>
      </c>
      <c r="G408" s="20">
        <v>1736.67</v>
      </c>
      <c r="H408" s="20"/>
      <c r="I408" s="20"/>
      <c r="J408" s="20"/>
      <c r="K408" s="20"/>
    </row>
    <row r="409" spans="1:11" ht="19.5" customHeight="1" x14ac:dyDescent="0.3">
      <c r="A409" s="22">
        <v>46045.616632800928</v>
      </c>
      <c r="B409" s="25">
        <v>40.299999999999997</v>
      </c>
      <c r="C409" s="20">
        <v>65</v>
      </c>
      <c r="D409" s="20">
        <v>65.08</v>
      </c>
      <c r="E409" s="20">
        <v>-0.08</v>
      </c>
      <c r="F409" s="20">
        <v>0.04</v>
      </c>
      <c r="G409" s="20">
        <v>1761.05</v>
      </c>
      <c r="H409" s="20"/>
      <c r="I409" s="20"/>
      <c r="J409" s="20"/>
      <c r="K409" s="20"/>
    </row>
    <row r="410" spans="1:11" ht="19.5" customHeight="1" x14ac:dyDescent="0.3">
      <c r="A410" s="22">
        <v>46045.61663394676</v>
      </c>
      <c r="B410" s="20">
        <v>40.4</v>
      </c>
      <c r="C410" s="20">
        <v>65</v>
      </c>
      <c r="D410" s="20">
        <v>64.959999999999994</v>
      </c>
      <c r="E410" s="20">
        <v>0.04</v>
      </c>
      <c r="F410" s="20">
        <v>0.11</v>
      </c>
      <c r="G410" s="20">
        <v>1834.64</v>
      </c>
      <c r="H410" s="20"/>
      <c r="I410" s="20"/>
      <c r="J410" s="20"/>
      <c r="K410" s="20"/>
    </row>
    <row r="411" spans="1:11" ht="19.5" customHeight="1" x14ac:dyDescent="0.3">
      <c r="A411" s="22">
        <v>46045.616635104168</v>
      </c>
      <c r="B411" s="25">
        <v>40.5</v>
      </c>
      <c r="C411" s="20">
        <v>65</v>
      </c>
      <c r="D411" s="20">
        <v>64.849999999999994</v>
      </c>
      <c r="E411" s="20">
        <v>0.15</v>
      </c>
      <c r="F411" s="20">
        <v>0.12</v>
      </c>
      <c r="G411" s="20">
        <v>1928.03</v>
      </c>
      <c r="H411" s="20"/>
      <c r="I411" s="20"/>
      <c r="J411" s="20"/>
      <c r="K411" s="20"/>
    </row>
    <row r="412" spans="1:11" ht="19.5" customHeight="1" x14ac:dyDescent="0.3">
      <c r="A412" s="22">
        <v>46045.616636261577</v>
      </c>
      <c r="B412" s="25">
        <v>40.6</v>
      </c>
      <c r="C412" s="20">
        <v>65</v>
      </c>
      <c r="D412" s="20">
        <v>64.709999999999994</v>
      </c>
      <c r="E412" s="20">
        <v>0.28999999999999998</v>
      </c>
      <c r="F412" s="20">
        <v>0.13</v>
      </c>
      <c r="G412" s="20">
        <v>2019.11</v>
      </c>
      <c r="H412" s="20"/>
      <c r="I412" s="20"/>
      <c r="J412" s="20"/>
      <c r="K412" s="20"/>
    </row>
    <row r="413" spans="1:11" ht="19.5" customHeight="1" x14ac:dyDescent="0.3">
      <c r="A413" s="22">
        <v>46045.616637418978</v>
      </c>
      <c r="B413" s="20">
        <v>40.700000000000003</v>
      </c>
      <c r="C413" s="20">
        <v>65</v>
      </c>
      <c r="D413" s="20">
        <v>64.63</v>
      </c>
      <c r="E413" s="20">
        <v>0.37</v>
      </c>
      <c r="F413" s="20">
        <v>0.08</v>
      </c>
      <c r="G413" s="20">
        <v>2078.04</v>
      </c>
      <c r="H413" s="20"/>
      <c r="I413" s="20"/>
      <c r="J413" s="20"/>
      <c r="K413" s="20"/>
    </row>
    <row r="414" spans="1:11" ht="19.5" customHeight="1" x14ac:dyDescent="0.3">
      <c r="A414" s="22">
        <v>46045.616638576386</v>
      </c>
      <c r="B414" s="25">
        <v>40.799999999999997</v>
      </c>
      <c r="C414" s="20">
        <v>65</v>
      </c>
      <c r="D414" s="20">
        <v>64.510000000000005</v>
      </c>
      <c r="E414" s="20">
        <v>0.49</v>
      </c>
      <c r="F414" s="20">
        <v>0.12</v>
      </c>
      <c r="G414" s="20">
        <v>2166.63</v>
      </c>
      <c r="H414" s="20"/>
      <c r="I414" s="20"/>
      <c r="J414" s="20"/>
      <c r="K414" s="20"/>
    </row>
    <row r="415" spans="1:11" ht="19.5" customHeight="1" x14ac:dyDescent="0.3">
      <c r="A415" s="22">
        <v>46045.616639768516</v>
      </c>
      <c r="B415" s="20">
        <v>40.9</v>
      </c>
      <c r="C415" s="20">
        <v>65</v>
      </c>
      <c r="D415" s="20">
        <v>64.48</v>
      </c>
      <c r="E415" s="20">
        <v>0.52</v>
      </c>
      <c r="F415" s="20">
        <v>0.03</v>
      </c>
      <c r="G415" s="20">
        <v>2193.92</v>
      </c>
      <c r="H415" s="20"/>
      <c r="I415" s="20"/>
      <c r="J415" s="20"/>
      <c r="K415" s="20"/>
    </row>
    <row r="416" spans="1:11" ht="19.5" customHeight="1" x14ac:dyDescent="0.3">
      <c r="A416" s="22">
        <v>46045.616640891203</v>
      </c>
      <c r="B416" s="25">
        <v>41</v>
      </c>
      <c r="C416" s="20">
        <v>65</v>
      </c>
      <c r="D416" s="20">
        <v>64.41</v>
      </c>
      <c r="E416" s="20">
        <v>0.59</v>
      </c>
      <c r="F416" s="20">
        <v>7.0000000000000007E-2</v>
      </c>
      <c r="G416" s="20">
        <v>2262.91</v>
      </c>
      <c r="H416" s="20"/>
      <c r="I416" s="20"/>
      <c r="J416" s="20"/>
      <c r="K416" s="20"/>
    </row>
    <row r="417" spans="1:11" ht="19.5" customHeight="1" x14ac:dyDescent="0.3">
      <c r="A417" s="22">
        <v>46045.616642048612</v>
      </c>
      <c r="B417" s="25">
        <v>41.1</v>
      </c>
      <c r="C417" s="20">
        <v>65</v>
      </c>
      <c r="D417" s="20">
        <v>64.45</v>
      </c>
      <c r="E417" s="20">
        <v>0.55000000000000004</v>
      </c>
      <c r="F417" s="20">
        <v>-0.04</v>
      </c>
      <c r="G417" s="20">
        <v>2219.34</v>
      </c>
      <c r="H417" s="20"/>
      <c r="I417" s="20"/>
      <c r="J417" s="20"/>
      <c r="K417" s="20"/>
    </row>
    <row r="418" spans="1:11" ht="19.5" customHeight="1" x14ac:dyDescent="0.3">
      <c r="A418" s="22">
        <v>46045.616643240741</v>
      </c>
      <c r="B418" s="20">
        <v>41.2</v>
      </c>
      <c r="C418" s="20">
        <v>65</v>
      </c>
      <c r="D418" s="20">
        <v>64.459999999999994</v>
      </c>
      <c r="E418" s="20">
        <v>0.54</v>
      </c>
      <c r="F418" s="20">
        <v>-0.01</v>
      </c>
      <c r="G418" s="20">
        <v>2208.25</v>
      </c>
      <c r="H418" s="20"/>
      <c r="I418" s="20"/>
      <c r="J418" s="20"/>
      <c r="K418" s="20"/>
    </row>
    <row r="419" spans="1:11" ht="19.5" customHeight="1" x14ac:dyDescent="0.3">
      <c r="A419" s="22">
        <v>46045.616644363428</v>
      </c>
      <c r="B419" s="25">
        <v>41.3</v>
      </c>
      <c r="C419" s="20">
        <v>65</v>
      </c>
      <c r="D419" s="20">
        <v>64.47</v>
      </c>
      <c r="E419" s="20">
        <v>0.53</v>
      </c>
      <c r="F419" s="20">
        <v>-0.01</v>
      </c>
      <c r="G419" s="20">
        <v>2201.02</v>
      </c>
      <c r="H419" s="20"/>
      <c r="I419" s="20"/>
      <c r="J419" s="20"/>
      <c r="K419" s="20"/>
    </row>
    <row r="420" spans="1:11" ht="19.5" customHeight="1" x14ac:dyDescent="0.3">
      <c r="A420" s="22">
        <v>46045.616645520837</v>
      </c>
      <c r="B420" s="20">
        <v>41.4</v>
      </c>
      <c r="C420" s="20">
        <v>65</v>
      </c>
      <c r="D420" s="20">
        <v>64.52</v>
      </c>
      <c r="E420" s="20">
        <v>0.48</v>
      </c>
      <c r="F420" s="20">
        <v>-0.04</v>
      </c>
      <c r="G420" s="20">
        <v>2163.33</v>
      </c>
      <c r="H420" s="20"/>
      <c r="I420" s="20"/>
      <c r="J420" s="20"/>
      <c r="K420" s="20"/>
    </row>
    <row r="421" spans="1:11" ht="19.5" customHeight="1" x14ac:dyDescent="0.3">
      <c r="A421" s="22">
        <v>46045.616646678238</v>
      </c>
      <c r="B421" s="25">
        <v>41.5</v>
      </c>
      <c r="C421" s="20">
        <v>65</v>
      </c>
      <c r="D421" s="20">
        <v>64.569999999999993</v>
      </c>
      <c r="E421" s="20">
        <v>0.43</v>
      </c>
      <c r="F421" s="20">
        <v>-0.05</v>
      </c>
      <c r="G421" s="20">
        <v>2125.35</v>
      </c>
      <c r="H421" s="20"/>
      <c r="I421" s="20"/>
      <c r="J421" s="20"/>
      <c r="K421" s="20"/>
    </row>
    <row r="422" spans="1:11" ht="19.5" customHeight="1" x14ac:dyDescent="0.3">
      <c r="A422" s="22">
        <v>46045.616647835646</v>
      </c>
      <c r="B422" s="25">
        <v>41.6</v>
      </c>
      <c r="C422" s="20">
        <v>65</v>
      </c>
      <c r="D422" s="20">
        <v>64.62</v>
      </c>
      <c r="E422" s="20">
        <v>0.38</v>
      </c>
      <c r="F422" s="20">
        <v>-0.05</v>
      </c>
      <c r="G422" s="20">
        <v>2086.6799999999998</v>
      </c>
      <c r="H422" s="20"/>
      <c r="I422" s="20"/>
      <c r="J422" s="20"/>
      <c r="K422" s="20"/>
    </row>
    <row r="423" spans="1:11" ht="19.5" customHeight="1" x14ac:dyDescent="0.3">
      <c r="A423" s="22">
        <v>46045.616648993055</v>
      </c>
      <c r="B423" s="20">
        <v>41.7</v>
      </c>
      <c r="C423" s="20">
        <v>65</v>
      </c>
      <c r="D423" s="20">
        <v>64.709999999999994</v>
      </c>
      <c r="E423" s="20">
        <v>0.28999999999999998</v>
      </c>
      <c r="F423" s="20">
        <v>-0.09</v>
      </c>
      <c r="G423" s="20">
        <v>2024.65</v>
      </c>
      <c r="H423" s="20"/>
      <c r="I423" s="20"/>
      <c r="J423" s="20"/>
      <c r="K423" s="20"/>
    </row>
    <row r="424" spans="1:11" ht="19.5" customHeight="1" x14ac:dyDescent="0.3">
      <c r="A424" s="22">
        <v>46045.616650162039</v>
      </c>
      <c r="B424" s="25">
        <v>41.8</v>
      </c>
      <c r="C424" s="20">
        <v>65</v>
      </c>
      <c r="D424" s="20">
        <v>64.72</v>
      </c>
      <c r="E424" s="20">
        <v>0.28000000000000003</v>
      </c>
      <c r="F424" s="20">
        <v>-0.02</v>
      </c>
      <c r="G424" s="20">
        <v>2013.57</v>
      </c>
      <c r="H424" s="20"/>
      <c r="I424" s="20"/>
      <c r="J424" s="20"/>
      <c r="K424" s="20"/>
    </row>
    <row r="425" spans="1:11" ht="19.5" customHeight="1" x14ac:dyDescent="0.3">
      <c r="A425" s="22">
        <v>46045.616651307872</v>
      </c>
      <c r="B425" s="20">
        <v>41.9</v>
      </c>
      <c r="C425" s="20">
        <v>65</v>
      </c>
      <c r="D425" s="20">
        <v>64.819999999999993</v>
      </c>
      <c r="E425" s="20">
        <v>0.18</v>
      </c>
      <c r="F425" s="20">
        <v>-0.1</v>
      </c>
      <c r="G425" s="20">
        <v>1946.31</v>
      </c>
      <c r="H425" s="20"/>
      <c r="I425" s="20"/>
      <c r="J425" s="20"/>
      <c r="K425" s="20"/>
    </row>
    <row r="426" spans="1:11" ht="19.5" customHeight="1" x14ac:dyDescent="0.3">
      <c r="A426" s="22">
        <v>46045.61665246528</v>
      </c>
      <c r="B426" s="25">
        <v>42</v>
      </c>
      <c r="C426" s="20">
        <v>65</v>
      </c>
      <c r="D426" s="20">
        <v>64.88</v>
      </c>
      <c r="E426" s="20">
        <v>0.12</v>
      </c>
      <c r="F426" s="20">
        <v>-0.06</v>
      </c>
      <c r="G426" s="20">
        <v>1898.86</v>
      </c>
      <c r="H426" s="20"/>
      <c r="I426" s="20"/>
      <c r="J426" s="20"/>
      <c r="K426" s="20"/>
    </row>
    <row r="427" spans="1:11" ht="19.5" customHeight="1" x14ac:dyDescent="0.3">
      <c r="A427" s="22">
        <v>46045.616653622688</v>
      </c>
      <c r="B427" s="25">
        <v>42.1</v>
      </c>
      <c r="C427" s="20">
        <v>65</v>
      </c>
      <c r="D427" s="20">
        <v>64.97</v>
      </c>
      <c r="E427" s="20">
        <v>0.03</v>
      </c>
      <c r="F427" s="20">
        <v>-0.09</v>
      </c>
      <c r="G427" s="20">
        <v>1826.62</v>
      </c>
      <c r="H427" s="20"/>
      <c r="I427" s="20"/>
      <c r="J427" s="20"/>
      <c r="K427" s="20"/>
    </row>
    <row r="428" spans="1:11" ht="19.5" customHeight="1" x14ac:dyDescent="0.3">
      <c r="A428" s="22">
        <v>46045.616654780089</v>
      </c>
      <c r="B428" s="20">
        <v>42.2</v>
      </c>
      <c r="C428" s="20">
        <v>65</v>
      </c>
      <c r="D428" s="20">
        <v>64.92</v>
      </c>
      <c r="E428" s="20">
        <v>0.08</v>
      </c>
      <c r="F428" s="20">
        <v>0.05</v>
      </c>
      <c r="G428" s="20">
        <v>1870.73</v>
      </c>
      <c r="H428" s="20"/>
      <c r="I428" s="20"/>
      <c r="J428" s="20"/>
      <c r="K428" s="20"/>
    </row>
    <row r="429" spans="1:11" ht="19.5" customHeight="1" x14ac:dyDescent="0.3">
      <c r="A429" s="22">
        <v>46045.616655937498</v>
      </c>
      <c r="B429" s="25">
        <v>42.3</v>
      </c>
      <c r="C429" s="20">
        <v>65</v>
      </c>
      <c r="D429" s="20">
        <v>65.08</v>
      </c>
      <c r="E429" s="20">
        <v>-0.08</v>
      </c>
      <c r="F429" s="20">
        <v>-0.17</v>
      </c>
      <c r="G429" s="20">
        <v>1752.83</v>
      </c>
      <c r="H429" s="20"/>
      <c r="I429" s="20"/>
      <c r="J429" s="20"/>
      <c r="K429" s="20"/>
    </row>
    <row r="430" spans="1:11" ht="19.5" customHeight="1" x14ac:dyDescent="0.3">
      <c r="A430" s="22">
        <v>46045.616657094906</v>
      </c>
      <c r="B430" s="20">
        <v>42.4</v>
      </c>
      <c r="C430" s="20">
        <v>65</v>
      </c>
      <c r="D430" s="20">
        <v>65.040000000000006</v>
      </c>
      <c r="E430" s="20">
        <v>-0.04</v>
      </c>
      <c r="F430" s="20">
        <v>0.04</v>
      </c>
      <c r="G430" s="20">
        <v>1778.92</v>
      </c>
      <c r="H430" s="20"/>
      <c r="I430" s="20"/>
      <c r="J430" s="20"/>
      <c r="K430" s="20"/>
    </row>
    <row r="431" spans="1:11" ht="19.5" customHeight="1" x14ac:dyDescent="0.3">
      <c r="A431" s="22">
        <v>46045.616658252315</v>
      </c>
      <c r="B431" s="25">
        <v>42.5</v>
      </c>
      <c r="C431" s="20">
        <v>65</v>
      </c>
      <c r="D431" s="20">
        <v>65.12</v>
      </c>
      <c r="E431" s="20">
        <v>-0.12</v>
      </c>
      <c r="F431" s="20">
        <v>-0.08</v>
      </c>
      <c r="G431" s="20">
        <v>1739.71</v>
      </c>
      <c r="H431" s="20"/>
      <c r="I431" s="20"/>
      <c r="J431" s="20"/>
      <c r="K431" s="20"/>
    </row>
    <row r="432" spans="1:11" ht="19.5" customHeight="1" x14ac:dyDescent="0.3">
      <c r="A432" s="22">
        <v>46045.616659409723</v>
      </c>
      <c r="B432" s="25">
        <v>42.6</v>
      </c>
      <c r="C432" s="20">
        <v>65</v>
      </c>
      <c r="D432" s="20">
        <v>65.16</v>
      </c>
      <c r="E432" s="20">
        <v>-0.16</v>
      </c>
      <c r="F432" s="20">
        <v>-0.04</v>
      </c>
      <c r="G432" s="20">
        <v>1720.55</v>
      </c>
      <c r="H432" s="20"/>
      <c r="I432" s="20"/>
      <c r="J432" s="20"/>
      <c r="K432" s="20"/>
    </row>
    <row r="433" spans="1:11" ht="19.5" customHeight="1" x14ac:dyDescent="0.3">
      <c r="A433" s="22">
        <v>46045.616660567131</v>
      </c>
      <c r="B433" s="20">
        <v>42.7</v>
      </c>
      <c r="C433" s="20">
        <v>65</v>
      </c>
      <c r="D433" s="20">
        <v>65.27</v>
      </c>
      <c r="E433" s="20">
        <v>-0.27</v>
      </c>
      <c r="F433" s="20">
        <v>-0.1</v>
      </c>
      <c r="G433" s="20">
        <v>1668.68</v>
      </c>
      <c r="H433" s="20"/>
      <c r="I433" s="20"/>
      <c r="J433" s="20"/>
      <c r="K433" s="20"/>
    </row>
    <row r="434" spans="1:11" ht="19.5" customHeight="1" x14ac:dyDescent="0.3">
      <c r="A434" s="22">
        <v>46045.61666172454</v>
      </c>
      <c r="B434" s="25">
        <v>42.8</v>
      </c>
      <c r="C434" s="20">
        <v>65</v>
      </c>
      <c r="D434" s="20">
        <v>65.31</v>
      </c>
      <c r="E434" s="20">
        <v>-0.31</v>
      </c>
      <c r="F434" s="20">
        <v>-0.05</v>
      </c>
      <c r="G434" s="20">
        <v>1642.54</v>
      </c>
      <c r="H434" s="20"/>
      <c r="I434" s="20"/>
      <c r="J434" s="20"/>
      <c r="K434" s="20"/>
    </row>
    <row r="435" spans="1:11" ht="19.5" customHeight="1" x14ac:dyDescent="0.3">
      <c r="A435" s="22">
        <v>46045.616662881941</v>
      </c>
      <c r="B435" s="25">
        <v>42.9</v>
      </c>
      <c r="C435" s="20">
        <v>65</v>
      </c>
      <c r="D435" s="20">
        <v>65.36</v>
      </c>
      <c r="E435" s="20">
        <v>-0.36</v>
      </c>
      <c r="F435" s="20">
        <v>-0.05</v>
      </c>
      <c r="G435" s="20">
        <v>1613.93</v>
      </c>
      <c r="H435" s="20"/>
      <c r="I435" s="20"/>
      <c r="J435" s="20"/>
      <c r="K435" s="20"/>
    </row>
    <row r="436" spans="1:11" ht="19.5" customHeight="1" x14ac:dyDescent="0.3">
      <c r="A436" s="22">
        <v>46045.616664039349</v>
      </c>
      <c r="B436" s="20">
        <v>43</v>
      </c>
      <c r="C436" s="20">
        <v>65</v>
      </c>
      <c r="D436" s="20">
        <v>65.38</v>
      </c>
      <c r="E436" s="20">
        <v>-0.38</v>
      </c>
      <c r="F436" s="20">
        <v>-0.01</v>
      </c>
      <c r="G436" s="20">
        <v>1606.29</v>
      </c>
      <c r="H436" s="20"/>
      <c r="I436" s="20"/>
      <c r="J436" s="20"/>
      <c r="K436" s="20"/>
    </row>
    <row r="437" spans="1:11" ht="19.5" customHeight="1" x14ac:dyDescent="0.3">
      <c r="A437" s="22">
        <v>46045.616665208334</v>
      </c>
      <c r="B437" s="25">
        <v>43.1</v>
      </c>
      <c r="C437" s="20">
        <v>65</v>
      </c>
      <c r="D437" s="20">
        <v>65.44</v>
      </c>
      <c r="E437" s="20">
        <v>-0.44</v>
      </c>
      <c r="F437" s="20">
        <v>-7.0000000000000007E-2</v>
      </c>
      <c r="G437" s="20">
        <v>1557.45</v>
      </c>
      <c r="H437" s="20"/>
      <c r="I437" s="20"/>
      <c r="J437" s="20"/>
      <c r="K437" s="20"/>
    </row>
    <row r="438" spans="1:11" ht="19.5" customHeight="1" x14ac:dyDescent="0.3">
      <c r="A438" s="22">
        <v>46045.616666365742</v>
      </c>
      <c r="B438" s="20">
        <v>43.2</v>
      </c>
      <c r="C438" s="20">
        <v>65</v>
      </c>
      <c r="D438" s="20">
        <v>65.459999999999994</v>
      </c>
      <c r="E438" s="20">
        <v>-0.46</v>
      </c>
      <c r="F438" s="20">
        <v>-0.01</v>
      </c>
      <c r="G438" s="20">
        <v>1547.68</v>
      </c>
      <c r="H438" s="20"/>
      <c r="I438" s="20"/>
      <c r="J438" s="20"/>
      <c r="K438" s="20"/>
    </row>
    <row r="439" spans="1:11" ht="19.5" customHeight="1" x14ac:dyDescent="0.3">
      <c r="A439" s="22">
        <v>46045.616667511575</v>
      </c>
      <c r="B439" s="25">
        <v>43.3</v>
      </c>
      <c r="C439" s="20">
        <v>65</v>
      </c>
      <c r="D439" s="20">
        <v>65.48</v>
      </c>
      <c r="E439" s="20">
        <v>-0.48</v>
      </c>
      <c r="F439" s="20">
        <v>-0.02</v>
      </c>
      <c r="G439" s="20">
        <v>1526.68</v>
      </c>
      <c r="H439" s="20"/>
      <c r="I439" s="20"/>
      <c r="J439" s="20"/>
      <c r="K439" s="20"/>
    </row>
    <row r="440" spans="1:11" ht="19.5" customHeight="1" x14ac:dyDescent="0.3">
      <c r="A440" s="22">
        <v>46045.616668668983</v>
      </c>
      <c r="B440" s="25">
        <v>43.4</v>
      </c>
      <c r="C440" s="20">
        <v>65</v>
      </c>
      <c r="D440" s="20">
        <v>65.459999999999994</v>
      </c>
      <c r="E440" s="20">
        <v>-0.46</v>
      </c>
      <c r="F440" s="20">
        <v>0.02</v>
      </c>
      <c r="G440" s="20">
        <v>1544.33</v>
      </c>
      <c r="H440" s="20"/>
      <c r="I440" s="20"/>
      <c r="J440" s="20"/>
      <c r="K440" s="20"/>
    </row>
    <row r="441" spans="1:11" ht="19.5" customHeight="1" x14ac:dyDescent="0.3">
      <c r="A441" s="22">
        <v>46045.616669826391</v>
      </c>
      <c r="B441" s="20">
        <v>43.5</v>
      </c>
      <c r="C441" s="20">
        <v>65</v>
      </c>
      <c r="D441" s="20">
        <v>65.5</v>
      </c>
      <c r="E441" s="20">
        <v>-0.5</v>
      </c>
      <c r="F441" s="20">
        <v>-0.04</v>
      </c>
      <c r="G441" s="20">
        <v>1511.47</v>
      </c>
      <c r="H441" s="20"/>
      <c r="I441" s="20"/>
      <c r="J441" s="20"/>
      <c r="K441" s="20"/>
    </row>
    <row r="442" spans="1:11" ht="19.5" customHeight="1" x14ac:dyDescent="0.3">
      <c r="A442" s="22">
        <v>46045.616670995369</v>
      </c>
      <c r="B442" s="25">
        <v>43.6</v>
      </c>
      <c r="C442" s="20">
        <v>65</v>
      </c>
      <c r="D442" s="20">
        <v>65.5</v>
      </c>
      <c r="E442" s="20">
        <v>-0.5</v>
      </c>
      <c r="F442" s="20">
        <v>0</v>
      </c>
      <c r="G442" s="20">
        <v>1507.51</v>
      </c>
      <c r="H442" s="20"/>
      <c r="I442" s="20"/>
      <c r="J442" s="20"/>
      <c r="K442" s="20"/>
    </row>
    <row r="443" spans="1:11" ht="19.5" customHeight="1" x14ac:dyDescent="0.3">
      <c r="A443" s="22">
        <v>46045.616672141201</v>
      </c>
      <c r="B443" s="20">
        <v>43.7</v>
      </c>
      <c r="C443" s="20">
        <v>65</v>
      </c>
      <c r="D443" s="20">
        <v>65.459999999999994</v>
      </c>
      <c r="E443" s="20">
        <v>-0.46</v>
      </c>
      <c r="F443" s="20">
        <v>0.04</v>
      </c>
      <c r="G443" s="20">
        <v>1544.33</v>
      </c>
      <c r="H443" s="20"/>
      <c r="I443" s="20"/>
      <c r="J443" s="20"/>
      <c r="K443" s="20"/>
    </row>
    <row r="444" spans="1:11" ht="19.5" customHeight="1" x14ac:dyDescent="0.3">
      <c r="A444" s="22">
        <v>46045.616673298609</v>
      </c>
      <c r="B444" s="25">
        <v>43.8</v>
      </c>
      <c r="C444" s="20">
        <v>65</v>
      </c>
      <c r="D444" s="20">
        <v>65.5</v>
      </c>
      <c r="E444" s="20">
        <v>-0.5</v>
      </c>
      <c r="F444" s="20">
        <v>-0.04</v>
      </c>
      <c r="G444" s="20">
        <v>1507.51</v>
      </c>
      <c r="H444" s="20"/>
      <c r="I444" s="20"/>
      <c r="J444" s="20"/>
      <c r="K444" s="20"/>
    </row>
    <row r="445" spans="1:11" ht="19.5" customHeight="1" x14ac:dyDescent="0.3">
      <c r="A445" s="22">
        <v>46045.61667447917</v>
      </c>
      <c r="B445" s="25">
        <v>43.9</v>
      </c>
      <c r="C445" s="20">
        <v>65</v>
      </c>
      <c r="D445" s="20">
        <v>65.5</v>
      </c>
      <c r="E445" s="20">
        <v>-0.5</v>
      </c>
      <c r="F445" s="20">
        <v>0</v>
      </c>
      <c r="G445" s="20">
        <v>1511.47</v>
      </c>
      <c r="H445" s="20"/>
      <c r="I445" s="20"/>
      <c r="J445" s="20"/>
      <c r="K445" s="20"/>
    </row>
    <row r="446" spans="1:11" ht="19.5" customHeight="1" x14ac:dyDescent="0.3">
      <c r="A446" s="22">
        <v>46045.616675613426</v>
      </c>
      <c r="B446" s="20">
        <v>44</v>
      </c>
      <c r="C446" s="20">
        <v>65</v>
      </c>
      <c r="D446" s="20">
        <v>65.5</v>
      </c>
      <c r="E446" s="20">
        <v>-0.5</v>
      </c>
      <c r="F446" s="20">
        <v>0</v>
      </c>
      <c r="G446" s="20">
        <v>1511.47</v>
      </c>
      <c r="H446" s="20"/>
      <c r="I446" s="20"/>
      <c r="J446" s="20"/>
      <c r="K446" s="20"/>
    </row>
    <row r="447" spans="1:11" ht="19.5" customHeight="1" x14ac:dyDescent="0.3">
      <c r="A447" s="22">
        <v>46045.616676770835</v>
      </c>
      <c r="B447" s="25">
        <v>44.1</v>
      </c>
      <c r="C447" s="20">
        <v>65</v>
      </c>
      <c r="D447" s="20">
        <v>65.47</v>
      </c>
      <c r="E447" s="20">
        <v>-0.47</v>
      </c>
      <c r="F447" s="20">
        <v>0.03</v>
      </c>
      <c r="G447" s="20">
        <v>1537.46</v>
      </c>
      <c r="H447" s="20"/>
      <c r="I447" s="20"/>
      <c r="J447" s="20"/>
      <c r="K447" s="20"/>
    </row>
    <row r="448" spans="1:11" ht="19.5" customHeight="1" x14ac:dyDescent="0.3">
      <c r="A448" s="22">
        <v>46045.616677928243</v>
      </c>
      <c r="B448" s="20">
        <v>44.2</v>
      </c>
      <c r="C448" s="20">
        <v>65</v>
      </c>
      <c r="D448" s="20">
        <v>65.459999999999994</v>
      </c>
      <c r="E448" s="20">
        <v>-0.46</v>
      </c>
      <c r="F448" s="20">
        <v>0.01</v>
      </c>
      <c r="G448" s="20">
        <v>1544.33</v>
      </c>
      <c r="H448" s="20"/>
      <c r="I448" s="20"/>
      <c r="J448" s="20"/>
      <c r="K448" s="20"/>
    </row>
    <row r="449" spans="1:11" ht="19.5" customHeight="1" x14ac:dyDescent="0.3">
      <c r="A449" s="22">
        <v>46045.616679085651</v>
      </c>
      <c r="B449" s="25">
        <v>44.3</v>
      </c>
      <c r="C449" s="20">
        <v>65</v>
      </c>
      <c r="D449" s="20">
        <v>65.45</v>
      </c>
      <c r="E449" s="20">
        <v>-0.45</v>
      </c>
      <c r="F449" s="20">
        <v>0.01</v>
      </c>
      <c r="G449" s="20">
        <v>1554.23</v>
      </c>
      <c r="H449" s="20"/>
      <c r="I449" s="20"/>
      <c r="J449" s="20"/>
      <c r="K449" s="20"/>
    </row>
    <row r="450" spans="1:11" ht="19.5" customHeight="1" x14ac:dyDescent="0.3">
      <c r="A450" s="22">
        <v>46045.616680254629</v>
      </c>
      <c r="B450" s="25">
        <v>44.4</v>
      </c>
      <c r="C450" s="20">
        <v>65</v>
      </c>
      <c r="D450" s="20">
        <v>65.38</v>
      </c>
      <c r="E450" s="20">
        <v>-0.38</v>
      </c>
      <c r="F450" s="20">
        <v>7.0000000000000007E-2</v>
      </c>
      <c r="G450" s="20">
        <v>1606.29</v>
      </c>
      <c r="H450" s="20"/>
      <c r="I450" s="20"/>
      <c r="J450" s="20"/>
      <c r="K450" s="20"/>
    </row>
    <row r="451" spans="1:11" ht="19.5" customHeight="1" x14ac:dyDescent="0.3">
      <c r="A451" s="22">
        <v>46045.616681388892</v>
      </c>
      <c r="B451" s="20">
        <v>44.5</v>
      </c>
      <c r="C451" s="20">
        <v>65</v>
      </c>
      <c r="D451" s="20">
        <v>65.38</v>
      </c>
      <c r="E451" s="20">
        <v>-0.38</v>
      </c>
      <c r="F451" s="20">
        <v>0</v>
      </c>
      <c r="G451" s="20">
        <v>1606.29</v>
      </c>
      <c r="H451" s="20"/>
      <c r="I451" s="20"/>
      <c r="J451" s="20"/>
      <c r="K451" s="20"/>
    </row>
    <row r="452" spans="1:11" ht="19.5" customHeight="1" x14ac:dyDescent="0.3">
      <c r="A452" s="22">
        <v>46045.616682557869</v>
      </c>
      <c r="B452" s="25">
        <v>44.6</v>
      </c>
      <c r="C452" s="20">
        <v>65</v>
      </c>
      <c r="D452" s="20">
        <v>65.33</v>
      </c>
      <c r="E452" s="20">
        <v>-0.33</v>
      </c>
      <c r="F452" s="20">
        <v>0.04</v>
      </c>
      <c r="G452" s="20">
        <v>1630.98</v>
      </c>
      <c r="H452" s="20"/>
      <c r="I452" s="20"/>
      <c r="J452" s="20"/>
      <c r="K452" s="20"/>
    </row>
    <row r="453" spans="1:11" ht="19.5" customHeight="1" x14ac:dyDescent="0.3">
      <c r="A453" s="22">
        <v>46045.616683715278</v>
      </c>
      <c r="B453" s="20">
        <v>44.7</v>
      </c>
      <c r="C453" s="20">
        <v>65</v>
      </c>
      <c r="D453" s="20">
        <v>65.349999999999994</v>
      </c>
      <c r="E453" s="20">
        <v>-0.35</v>
      </c>
      <c r="F453" s="20">
        <v>-0.01</v>
      </c>
      <c r="G453" s="20">
        <v>1623.75</v>
      </c>
      <c r="H453" s="20"/>
      <c r="I453" s="20"/>
      <c r="J453" s="20"/>
      <c r="K453" s="20"/>
    </row>
    <row r="454" spans="1:11" ht="19.5" customHeight="1" x14ac:dyDescent="0.3">
      <c r="A454" s="22">
        <v>46045.616684895831</v>
      </c>
      <c r="B454" s="25">
        <v>44.8</v>
      </c>
      <c r="C454" s="20">
        <v>65</v>
      </c>
      <c r="D454" s="20">
        <v>65.33</v>
      </c>
      <c r="E454" s="20">
        <v>-0.33</v>
      </c>
      <c r="F454" s="20">
        <v>0.02</v>
      </c>
      <c r="G454" s="20">
        <v>1635.68</v>
      </c>
      <c r="H454" s="20"/>
      <c r="I454" s="20"/>
      <c r="J454" s="20"/>
      <c r="K454" s="20"/>
    </row>
    <row r="455" spans="1:11" ht="19.5" customHeight="1" x14ac:dyDescent="0.3">
      <c r="A455" s="22">
        <v>46045.616686064815</v>
      </c>
      <c r="B455" s="20">
        <v>44.9</v>
      </c>
      <c r="C455" s="20">
        <v>65</v>
      </c>
      <c r="D455" s="20">
        <v>65.31</v>
      </c>
      <c r="E455" s="20">
        <v>-0.31</v>
      </c>
      <c r="F455" s="20">
        <v>0.01</v>
      </c>
      <c r="G455" s="20">
        <v>1642.54</v>
      </c>
      <c r="H455" s="20"/>
      <c r="I455" s="20"/>
      <c r="J455" s="20"/>
      <c r="K455" s="20"/>
    </row>
    <row r="456" spans="1:11" ht="19.5" customHeight="1" x14ac:dyDescent="0.3">
      <c r="A456" s="22">
        <v>46045.616687175927</v>
      </c>
      <c r="B456" s="25">
        <v>45</v>
      </c>
      <c r="C456" s="20">
        <v>65</v>
      </c>
      <c r="D456" s="20">
        <v>65.239999999999995</v>
      </c>
      <c r="E456" s="20">
        <v>-0.24</v>
      </c>
      <c r="F456" s="20">
        <v>7.0000000000000007E-2</v>
      </c>
      <c r="G456" s="20">
        <v>1681.06</v>
      </c>
      <c r="H456" s="20"/>
      <c r="I456" s="20"/>
      <c r="J456" s="20"/>
      <c r="K456" s="20"/>
    </row>
    <row r="457" spans="1:11" ht="19.5" customHeight="1" x14ac:dyDescent="0.3">
      <c r="A457" s="22">
        <v>46045.616688333335</v>
      </c>
      <c r="B457" s="25">
        <v>45.1</v>
      </c>
      <c r="C457" s="20">
        <v>65</v>
      </c>
      <c r="D457" s="20">
        <v>65.27</v>
      </c>
      <c r="E457" s="20">
        <v>-0.27</v>
      </c>
      <c r="F457" s="20">
        <v>-0.03</v>
      </c>
      <c r="G457" s="20">
        <v>1666.57</v>
      </c>
      <c r="H457" s="20"/>
      <c r="I457" s="20"/>
      <c r="J457" s="20"/>
      <c r="K457" s="20"/>
    </row>
    <row r="458" spans="1:11" ht="19.5" customHeight="1" x14ac:dyDescent="0.3">
      <c r="A458" s="22">
        <v>46045.616689502313</v>
      </c>
      <c r="B458" s="20">
        <v>45.2</v>
      </c>
      <c r="C458" s="20">
        <v>65</v>
      </c>
      <c r="D458" s="20">
        <v>65.239999999999995</v>
      </c>
      <c r="E458" s="20">
        <v>-0.24</v>
      </c>
      <c r="F458" s="20">
        <v>0.03</v>
      </c>
      <c r="G458" s="20">
        <v>1683.11</v>
      </c>
      <c r="H458" s="20"/>
      <c r="I458" s="20"/>
      <c r="J458" s="20"/>
      <c r="K458" s="20"/>
    </row>
    <row r="459" spans="1:11" ht="19.5" customHeight="1" x14ac:dyDescent="0.3">
      <c r="A459" s="22">
        <v>46045.616690659721</v>
      </c>
      <c r="B459" s="25">
        <v>45.3</v>
      </c>
      <c r="C459" s="20">
        <v>65</v>
      </c>
      <c r="D459" s="20">
        <v>65.239999999999995</v>
      </c>
      <c r="E459" s="20">
        <v>-0.24</v>
      </c>
      <c r="F459" s="20">
        <v>0</v>
      </c>
      <c r="G459" s="20">
        <v>1681.06</v>
      </c>
      <c r="H459" s="20"/>
      <c r="I459" s="20"/>
      <c r="J459" s="20"/>
      <c r="K459" s="20"/>
    </row>
    <row r="460" spans="1:11" ht="19.5" customHeight="1" x14ac:dyDescent="0.3">
      <c r="A460" s="22">
        <v>46045.616691817129</v>
      </c>
      <c r="B460" s="25">
        <v>45.4</v>
      </c>
      <c r="C460" s="20">
        <v>65</v>
      </c>
      <c r="D460" s="20">
        <v>65.239999999999995</v>
      </c>
      <c r="E460" s="20">
        <v>-0.24</v>
      </c>
      <c r="F460" s="20">
        <v>0</v>
      </c>
      <c r="G460" s="20">
        <v>1681.06</v>
      </c>
      <c r="H460" s="20"/>
      <c r="I460" s="20"/>
      <c r="J460" s="20"/>
      <c r="K460" s="20"/>
    </row>
    <row r="461" spans="1:11" ht="19.5" customHeight="1" x14ac:dyDescent="0.3">
      <c r="A461" s="22">
        <v>46045.616692974538</v>
      </c>
      <c r="B461" s="20">
        <v>45.5</v>
      </c>
      <c r="C461" s="20">
        <v>65</v>
      </c>
      <c r="D461" s="20">
        <v>65.22</v>
      </c>
      <c r="E461" s="20">
        <v>-0.22</v>
      </c>
      <c r="F461" s="20">
        <v>0.02</v>
      </c>
      <c r="G461" s="20">
        <v>1693.18</v>
      </c>
      <c r="H461" s="20"/>
      <c r="I461" s="20"/>
      <c r="J461" s="20"/>
      <c r="K461" s="20"/>
    </row>
    <row r="462" spans="1:11" ht="19.5" customHeight="1" x14ac:dyDescent="0.3">
      <c r="A462" s="22">
        <v>46045.616694131946</v>
      </c>
      <c r="B462" s="25">
        <v>45.6</v>
      </c>
      <c r="C462" s="20">
        <v>65</v>
      </c>
      <c r="D462" s="20">
        <v>65.23</v>
      </c>
      <c r="E462" s="20">
        <v>-0.23</v>
      </c>
      <c r="F462" s="20">
        <v>-0.01</v>
      </c>
      <c r="G462" s="20">
        <v>1687.17</v>
      </c>
      <c r="H462" s="20"/>
      <c r="I462" s="20"/>
      <c r="J462" s="20"/>
      <c r="K462" s="20"/>
    </row>
    <row r="463" spans="1:11" ht="19.5" customHeight="1" x14ac:dyDescent="0.3">
      <c r="A463" s="22">
        <v>46045.616695289355</v>
      </c>
      <c r="B463" s="20">
        <v>45.7</v>
      </c>
      <c r="C463" s="20">
        <v>65</v>
      </c>
      <c r="D463" s="20">
        <v>65.209999999999994</v>
      </c>
      <c r="E463" s="20">
        <v>-0.21</v>
      </c>
      <c r="F463" s="20">
        <v>0.02</v>
      </c>
      <c r="G463" s="20">
        <v>1695.15</v>
      </c>
      <c r="H463" s="20"/>
      <c r="I463" s="20"/>
      <c r="J463" s="20"/>
      <c r="K463" s="20"/>
    </row>
    <row r="464" spans="1:11" ht="19.5" customHeight="1" x14ac:dyDescent="0.3">
      <c r="A464" s="22">
        <v>46045.616696446756</v>
      </c>
      <c r="B464" s="25">
        <v>45.8</v>
      </c>
      <c r="C464" s="20">
        <v>65</v>
      </c>
      <c r="D464" s="20">
        <v>65.209999999999994</v>
      </c>
      <c r="E464" s="20">
        <v>-0.21</v>
      </c>
      <c r="F464" s="20">
        <v>0.01</v>
      </c>
      <c r="G464" s="20">
        <v>1699.07</v>
      </c>
      <c r="H464" s="20"/>
      <c r="I464" s="20"/>
      <c r="J464" s="20"/>
      <c r="K464" s="20"/>
    </row>
    <row r="465" spans="1:11" ht="19.5" customHeight="1" x14ac:dyDescent="0.3">
      <c r="A465" s="22">
        <v>46045.61669761574</v>
      </c>
      <c r="B465" s="20">
        <v>45.9</v>
      </c>
      <c r="C465" s="20">
        <v>65</v>
      </c>
      <c r="D465" s="20">
        <v>65.19</v>
      </c>
      <c r="E465" s="20">
        <v>-0.19</v>
      </c>
      <c r="F465" s="20">
        <v>0.02</v>
      </c>
      <c r="G465" s="20">
        <v>1706.98</v>
      </c>
      <c r="H465" s="20"/>
      <c r="I465" s="20"/>
      <c r="J465" s="20"/>
      <c r="K465" s="20"/>
    </row>
    <row r="466" spans="1:11" ht="19.5" customHeight="1" x14ac:dyDescent="0.3">
      <c r="A466" s="22">
        <v>46045.616698773149</v>
      </c>
      <c r="B466" s="25">
        <v>46</v>
      </c>
      <c r="C466" s="20">
        <v>65</v>
      </c>
      <c r="D466" s="20">
        <v>65.19</v>
      </c>
      <c r="E466" s="20">
        <v>-0.19</v>
      </c>
      <c r="F466" s="20">
        <v>0</v>
      </c>
      <c r="G466" s="20">
        <v>1708.94</v>
      </c>
      <c r="H466" s="20"/>
      <c r="I466" s="20"/>
      <c r="J466" s="20"/>
      <c r="K466" s="20"/>
    </row>
    <row r="467" spans="1:11" ht="19.5" customHeight="1" x14ac:dyDescent="0.3">
      <c r="A467" s="22">
        <v>46045.616699918981</v>
      </c>
      <c r="B467" s="25">
        <v>46.1</v>
      </c>
      <c r="C467" s="20">
        <v>65</v>
      </c>
      <c r="D467" s="20">
        <v>65.22</v>
      </c>
      <c r="E467" s="20">
        <v>-0.22</v>
      </c>
      <c r="F467" s="20">
        <v>-0.04</v>
      </c>
      <c r="G467" s="20">
        <v>1691.18</v>
      </c>
      <c r="H467" s="20"/>
      <c r="I467" s="20"/>
      <c r="J467" s="20"/>
      <c r="K467" s="20"/>
    </row>
    <row r="468" spans="1:11" ht="19.5" customHeight="1" x14ac:dyDescent="0.3">
      <c r="A468" s="22">
        <v>46045.616701076389</v>
      </c>
      <c r="B468" s="20">
        <v>46.2</v>
      </c>
      <c r="C468" s="20">
        <v>65</v>
      </c>
      <c r="D468" s="20">
        <v>65.23</v>
      </c>
      <c r="E468" s="20">
        <v>-0.23</v>
      </c>
      <c r="F468" s="20">
        <v>-0.01</v>
      </c>
      <c r="G468" s="20">
        <v>1687.17</v>
      </c>
      <c r="H468" s="20"/>
      <c r="I468" s="20"/>
      <c r="J468" s="20"/>
      <c r="K468" s="20"/>
    </row>
    <row r="469" spans="1:11" ht="19.5" customHeight="1" x14ac:dyDescent="0.3">
      <c r="A469" s="22">
        <v>46045.616702245374</v>
      </c>
      <c r="B469" s="25">
        <v>46.3</v>
      </c>
      <c r="C469" s="20">
        <v>65</v>
      </c>
      <c r="D469" s="20">
        <v>65.19</v>
      </c>
      <c r="E469" s="20">
        <v>-0.19</v>
      </c>
      <c r="F469" s="20">
        <v>0.04</v>
      </c>
      <c r="G469" s="20">
        <v>1705.01</v>
      </c>
      <c r="H469" s="20"/>
      <c r="I469" s="20"/>
      <c r="J469" s="20"/>
      <c r="K469" s="20"/>
    </row>
    <row r="470" spans="1:11" ht="19.5" customHeight="1" x14ac:dyDescent="0.3">
      <c r="A470" s="22">
        <v>46045.616703391206</v>
      </c>
      <c r="B470" s="20">
        <v>46.4</v>
      </c>
      <c r="C470" s="20">
        <v>65</v>
      </c>
      <c r="D470" s="20">
        <v>65.209999999999994</v>
      </c>
      <c r="E470" s="20">
        <v>-0.21</v>
      </c>
      <c r="F470" s="20">
        <v>-0.02</v>
      </c>
      <c r="G470" s="20">
        <v>1695.15</v>
      </c>
      <c r="H470" s="20"/>
      <c r="I470" s="20"/>
      <c r="J470" s="20"/>
      <c r="K470" s="20"/>
    </row>
    <row r="471" spans="1:11" ht="19.5" customHeight="1" x14ac:dyDescent="0.3">
      <c r="A471" s="22">
        <v>46045.616704571759</v>
      </c>
      <c r="B471" s="25">
        <v>46.5</v>
      </c>
      <c r="C471" s="20">
        <v>65</v>
      </c>
      <c r="D471" s="20">
        <v>65.239999999999995</v>
      </c>
      <c r="E471" s="20">
        <v>-0.24</v>
      </c>
      <c r="F471" s="20">
        <v>-0.02</v>
      </c>
      <c r="G471" s="20">
        <v>1683.11</v>
      </c>
      <c r="H471" s="20"/>
      <c r="I471" s="20"/>
      <c r="J471" s="20"/>
      <c r="K471" s="20"/>
    </row>
    <row r="472" spans="1:11" ht="19.5" customHeight="1" x14ac:dyDescent="0.3">
      <c r="A472" s="22">
        <v>46045.616705706016</v>
      </c>
      <c r="B472" s="25">
        <v>46.6</v>
      </c>
      <c r="C472" s="20">
        <v>65</v>
      </c>
      <c r="D472" s="20">
        <v>65.22</v>
      </c>
      <c r="E472" s="20">
        <v>-0.22</v>
      </c>
      <c r="F472" s="20">
        <v>0.02</v>
      </c>
      <c r="G472" s="20">
        <v>1691.18</v>
      </c>
      <c r="H472" s="20"/>
      <c r="I472" s="20"/>
      <c r="J472" s="20"/>
      <c r="K472" s="20"/>
    </row>
    <row r="473" spans="1:11" ht="19.5" customHeight="1" x14ac:dyDescent="0.3">
      <c r="A473" s="22">
        <v>46045.616706863424</v>
      </c>
      <c r="B473" s="20">
        <v>46.7</v>
      </c>
      <c r="C473" s="20">
        <v>65</v>
      </c>
      <c r="D473" s="20">
        <v>65.209999999999994</v>
      </c>
      <c r="E473" s="20">
        <v>-0.21</v>
      </c>
      <c r="F473" s="20">
        <v>0.01</v>
      </c>
      <c r="G473" s="20">
        <v>1695.15</v>
      </c>
      <c r="H473" s="20"/>
      <c r="I473" s="20"/>
      <c r="J473" s="20"/>
      <c r="K473" s="20"/>
    </row>
    <row r="474" spans="1:11" ht="19.5" customHeight="1" x14ac:dyDescent="0.3">
      <c r="A474" s="22">
        <v>46045.616708020832</v>
      </c>
      <c r="B474" s="25">
        <v>46.8</v>
      </c>
      <c r="C474" s="20">
        <v>65</v>
      </c>
      <c r="D474" s="20">
        <v>65.23</v>
      </c>
      <c r="E474" s="20">
        <v>-0.23</v>
      </c>
      <c r="F474" s="20">
        <v>-0.01</v>
      </c>
      <c r="G474" s="20">
        <v>1689.19</v>
      </c>
      <c r="H474" s="20"/>
      <c r="I474" s="20"/>
      <c r="J474" s="20"/>
      <c r="K474" s="20"/>
    </row>
    <row r="475" spans="1:11" ht="19.5" customHeight="1" x14ac:dyDescent="0.3">
      <c r="A475" s="22">
        <v>46045.616709178241</v>
      </c>
      <c r="B475" s="20">
        <v>46.9</v>
      </c>
      <c r="C475" s="20">
        <v>65</v>
      </c>
      <c r="D475" s="20">
        <v>65.260000000000005</v>
      </c>
      <c r="E475" s="20">
        <v>-0.26</v>
      </c>
      <c r="F475" s="20">
        <v>-0.03</v>
      </c>
      <c r="G475" s="20">
        <v>1672.81</v>
      </c>
      <c r="H475" s="20"/>
      <c r="I475" s="20"/>
      <c r="J475" s="20"/>
      <c r="K475" s="20"/>
    </row>
    <row r="476" spans="1:11" ht="19.5" customHeight="1" x14ac:dyDescent="0.3">
      <c r="A476" s="22">
        <v>46045.616710335649</v>
      </c>
      <c r="B476" s="25">
        <v>47</v>
      </c>
      <c r="C476" s="20">
        <v>65</v>
      </c>
      <c r="D476" s="20">
        <v>65.209999999999994</v>
      </c>
      <c r="E476" s="20">
        <v>-0.21</v>
      </c>
      <c r="F476" s="20">
        <v>0.04</v>
      </c>
      <c r="G476" s="20">
        <v>1695.15</v>
      </c>
      <c r="H476" s="20"/>
      <c r="I476" s="20"/>
      <c r="J476" s="20"/>
      <c r="K476" s="20"/>
    </row>
    <row r="477" spans="1:11" ht="19.5" customHeight="1" x14ac:dyDescent="0.3">
      <c r="A477" s="22">
        <v>46045.616711493058</v>
      </c>
      <c r="B477" s="25">
        <v>47.1</v>
      </c>
      <c r="C477" s="20">
        <v>65</v>
      </c>
      <c r="D477" s="20">
        <v>65.209999999999994</v>
      </c>
      <c r="E477" s="20">
        <v>-0.21</v>
      </c>
      <c r="F477" s="20">
        <v>0.01</v>
      </c>
      <c r="G477" s="20">
        <v>1699.07</v>
      </c>
      <c r="H477" s="20"/>
      <c r="I477" s="20"/>
      <c r="J477" s="20"/>
      <c r="K477" s="20"/>
    </row>
    <row r="478" spans="1:11" ht="19.5" customHeight="1" x14ac:dyDescent="0.3">
      <c r="A478" s="22">
        <v>46045.61671263889</v>
      </c>
      <c r="B478" s="20">
        <v>47.2</v>
      </c>
      <c r="C478" s="20">
        <v>65</v>
      </c>
      <c r="D478" s="20">
        <v>65.25</v>
      </c>
      <c r="E478" s="20">
        <v>-0.25</v>
      </c>
      <c r="F478" s="20">
        <v>-0.05</v>
      </c>
      <c r="G478" s="20">
        <v>1674.86</v>
      </c>
      <c r="H478" s="20"/>
      <c r="I478" s="20"/>
      <c r="J478" s="20"/>
      <c r="K478" s="20"/>
    </row>
    <row r="479" spans="1:11" ht="19.5" customHeight="1" x14ac:dyDescent="0.3">
      <c r="A479" s="22">
        <v>46045.616713807867</v>
      </c>
      <c r="B479" s="25">
        <v>47.3</v>
      </c>
      <c r="C479" s="20">
        <v>65</v>
      </c>
      <c r="D479" s="20">
        <v>65.25</v>
      </c>
      <c r="E479" s="20">
        <v>-0.25</v>
      </c>
      <c r="F479" s="20">
        <v>0.01</v>
      </c>
      <c r="G479" s="20">
        <v>1678.99</v>
      </c>
      <c r="H479" s="20"/>
      <c r="I479" s="20"/>
      <c r="J479" s="20"/>
      <c r="K479" s="20"/>
    </row>
    <row r="480" spans="1:11" ht="19.5" customHeight="1" x14ac:dyDescent="0.3">
      <c r="A480" s="22">
        <v>46045.616714965276</v>
      </c>
      <c r="B480" s="20">
        <v>47.4</v>
      </c>
      <c r="C480" s="20">
        <v>65</v>
      </c>
      <c r="D480" s="20">
        <v>65.239999999999995</v>
      </c>
      <c r="E480" s="20">
        <v>-0.24</v>
      </c>
      <c r="F480" s="20">
        <v>0</v>
      </c>
      <c r="G480" s="20">
        <v>1681.06</v>
      </c>
      <c r="H480" s="20"/>
      <c r="I480" s="20"/>
      <c r="J480" s="20"/>
      <c r="K480" s="20"/>
    </row>
    <row r="481" spans="1:11" ht="19.5" customHeight="1" x14ac:dyDescent="0.3">
      <c r="A481" s="22">
        <v>46045.616716122684</v>
      </c>
      <c r="B481" s="25">
        <v>47.5</v>
      </c>
      <c r="C481" s="20">
        <v>65</v>
      </c>
      <c r="D481" s="20">
        <v>65.239999999999995</v>
      </c>
      <c r="E481" s="20">
        <v>-0.24</v>
      </c>
      <c r="F481" s="20">
        <v>0</v>
      </c>
      <c r="G481" s="20">
        <v>1683.11</v>
      </c>
      <c r="H481" s="20"/>
      <c r="I481" s="20"/>
      <c r="J481" s="20"/>
      <c r="K481" s="20"/>
    </row>
    <row r="482" spans="1:11" ht="19.5" customHeight="1" x14ac:dyDescent="0.3">
      <c r="A482" s="22">
        <v>46045.616717280092</v>
      </c>
      <c r="B482" s="25">
        <v>47.6</v>
      </c>
      <c r="C482" s="20">
        <v>65</v>
      </c>
      <c r="D482" s="20">
        <v>65.27</v>
      </c>
      <c r="E482" s="20">
        <v>-0.27</v>
      </c>
      <c r="F482" s="20">
        <v>-0.03</v>
      </c>
      <c r="G482" s="20">
        <v>1668.68</v>
      </c>
      <c r="H482" s="20"/>
      <c r="I482" s="20"/>
      <c r="J482" s="20"/>
      <c r="K482" s="20"/>
    </row>
    <row r="483" spans="1:11" ht="19.5" customHeight="1" x14ac:dyDescent="0.3">
      <c r="A483" s="22">
        <v>46045.616718449077</v>
      </c>
      <c r="B483" s="20">
        <v>47.7</v>
      </c>
      <c r="C483" s="20">
        <v>65</v>
      </c>
      <c r="D483" s="20">
        <v>65.22</v>
      </c>
      <c r="E483" s="20">
        <v>-0.22</v>
      </c>
      <c r="F483" s="20">
        <v>0.04</v>
      </c>
      <c r="G483" s="20">
        <v>1691.18</v>
      </c>
      <c r="H483" s="20"/>
      <c r="I483" s="20"/>
      <c r="J483" s="20"/>
      <c r="K483" s="20"/>
    </row>
    <row r="484" spans="1:11" ht="19.5" customHeight="1" x14ac:dyDescent="0.3">
      <c r="A484" s="22">
        <v>46045.616719594909</v>
      </c>
      <c r="B484" s="25">
        <v>47.8</v>
      </c>
      <c r="C484" s="20">
        <v>65</v>
      </c>
      <c r="D484" s="20">
        <v>65.260000000000005</v>
      </c>
      <c r="E484" s="20">
        <v>-0.26</v>
      </c>
      <c r="F484" s="20">
        <v>-0.04</v>
      </c>
      <c r="G484" s="20">
        <v>1672.81</v>
      </c>
      <c r="H484" s="20"/>
      <c r="I484" s="20"/>
      <c r="J484" s="20"/>
      <c r="K484" s="20"/>
    </row>
    <row r="485" spans="1:11" ht="19.5" customHeight="1" x14ac:dyDescent="0.3">
      <c r="A485" s="22">
        <v>46045.616720752318</v>
      </c>
      <c r="B485" s="20">
        <v>47.9</v>
      </c>
      <c r="C485" s="20">
        <v>65</v>
      </c>
      <c r="D485" s="20">
        <v>65.290000000000006</v>
      </c>
      <c r="E485" s="20">
        <v>-0.28999999999999998</v>
      </c>
      <c r="F485" s="20">
        <v>-0.03</v>
      </c>
      <c r="G485" s="20">
        <v>1655.84</v>
      </c>
      <c r="H485" s="20"/>
      <c r="I485" s="20"/>
      <c r="J485" s="20"/>
      <c r="K485" s="20"/>
    </row>
    <row r="486" spans="1:11" ht="19.5" customHeight="1" x14ac:dyDescent="0.3">
      <c r="A486" s="22">
        <v>46045.616721932871</v>
      </c>
      <c r="B486" s="25">
        <v>48</v>
      </c>
      <c r="C486" s="20">
        <v>65</v>
      </c>
      <c r="D486" s="20">
        <v>65.28</v>
      </c>
      <c r="E486" s="20">
        <v>-0.28000000000000003</v>
      </c>
      <c r="F486" s="20">
        <v>0.01</v>
      </c>
      <c r="G486" s="20">
        <v>1660.19</v>
      </c>
      <c r="H486" s="20"/>
      <c r="I486" s="20"/>
      <c r="J486" s="20"/>
      <c r="K486" s="20"/>
    </row>
    <row r="487" spans="1:11" ht="19.5" customHeight="1" x14ac:dyDescent="0.3">
      <c r="A487" s="22">
        <v>46045.616723067127</v>
      </c>
      <c r="B487" s="25">
        <v>48.1</v>
      </c>
      <c r="C487" s="20">
        <v>65</v>
      </c>
      <c r="D487" s="20">
        <v>65.27</v>
      </c>
      <c r="E487" s="20">
        <v>-0.27</v>
      </c>
      <c r="F487" s="20">
        <v>0.01</v>
      </c>
      <c r="G487" s="20">
        <v>1664.47</v>
      </c>
      <c r="H487" s="20"/>
      <c r="I487" s="20"/>
      <c r="J487" s="20"/>
      <c r="K487" s="20"/>
    </row>
    <row r="488" spans="1:11" ht="19.5" customHeight="1" x14ac:dyDescent="0.3">
      <c r="A488" s="22">
        <v>46045.616724236112</v>
      </c>
      <c r="B488" s="20">
        <v>48.2</v>
      </c>
      <c r="C488" s="20">
        <v>65</v>
      </c>
      <c r="D488" s="20">
        <v>65.290000000000006</v>
      </c>
      <c r="E488" s="20">
        <v>-0.28999999999999998</v>
      </c>
      <c r="F488" s="20">
        <v>-0.02</v>
      </c>
      <c r="G488" s="20">
        <v>1653.64</v>
      </c>
      <c r="H488" s="20"/>
      <c r="I488" s="20"/>
      <c r="J488" s="20"/>
      <c r="K488" s="20"/>
    </row>
    <row r="489" spans="1:11" ht="19.5" customHeight="1" x14ac:dyDescent="0.3">
      <c r="A489" s="22">
        <v>46045.61672539352</v>
      </c>
      <c r="B489" s="25">
        <v>48.3</v>
      </c>
      <c r="C489" s="20">
        <v>65</v>
      </c>
      <c r="D489" s="20">
        <v>65.27</v>
      </c>
      <c r="E489" s="20">
        <v>-0.27</v>
      </c>
      <c r="F489" s="20">
        <v>0.02</v>
      </c>
      <c r="G489" s="20">
        <v>1664.47</v>
      </c>
      <c r="H489" s="20"/>
      <c r="I489" s="20"/>
      <c r="J489" s="20"/>
      <c r="K489" s="20"/>
    </row>
    <row r="490" spans="1:11" ht="19.5" customHeight="1" x14ac:dyDescent="0.3">
      <c r="A490" s="22">
        <v>46045.616726550928</v>
      </c>
      <c r="B490" s="20">
        <v>48.4</v>
      </c>
      <c r="C490" s="20">
        <v>65</v>
      </c>
      <c r="D490" s="20">
        <v>65.27</v>
      </c>
      <c r="E490" s="20">
        <v>-0.27</v>
      </c>
      <c r="F490" s="20">
        <v>0</v>
      </c>
      <c r="G490" s="20">
        <v>1666.57</v>
      </c>
      <c r="H490" s="20"/>
      <c r="I490" s="20"/>
      <c r="J490" s="20"/>
      <c r="K490" s="20"/>
    </row>
    <row r="491" spans="1:11" ht="19.5" customHeight="1" x14ac:dyDescent="0.3">
      <c r="A491" s="22">
        <v>46045.616727696761</v>
      </c>
      <c r="B491" s="25">
        <v>48.5</v>
      </c>
      <c r="C491" s="20">
        <v>65</v>
      </c>
      <c r="D491" s="20">
        <v>65.27</v>
      </c>
      <c r="E491" s="20">
        <v>-0.27</v>
      </c>
      <c r="F491" s="20">
        <v>0</v>
      </c>
      <c r="G491" s="20">
        <v>1668.68</v>
      </c>
      <c r="H491" s="20"/>
      <c r="I491" s="20"/>
      <c r="J491" s="20"/>
      <c r="K491" s="20"/>
    </row>
    <row r="492" spans="1:11" ht="19.5" customHeight="1" x14ac:dyDescent="0.3">
      <c r="A492" s="22">
        <v>46045.616728865738</v>
      </c>
      <c r="B492" s="20">
        <v>48.6</v>
      </c>
      <c r="C492" s="20">
        <v>65</v>
      </c>
      <c r="D492" s="20">
        <v>65.27</v>
      </c>
      <c r="E492" s="20">
        <v>-0.27</v>
      </c>
      <c r="F492" s="20">
        <v>-0.01</v>
      </c>
      <c r="G492" s="20">
        <v>1664.47</v>
      </c>
      <c r="H492" s="20"/>
      <c r="I492" s="20"/>
      <c r="J492" s="20"/>
      <c r="K492" s="20"/>
    </row>
    <row r="493" spans="1:11" ht="19.5" customHeight="1" x14ac:dyDescent="0.3">
      <c r="A493" s="22">
        <v>46045.616730023146</v>
      </c>
      <c r="B493" s="25">
        <v>48.7</v>
      </c>
      <c r="C493" s="20">
        <v>65</v>
      </c>
      <c r="D493" s="20">
        <v>65.22</v>
      </c>
      <c r="E493" s="20">
        <v>-0.22</v>
      </c>
      <c r="F493" s="20">
        <v>0.05</v>
      </c>
      <c r="G493" s="20">
        <v>1691.18</v>
      </c>
      <c r="H493" s="20"/>
      <c r="I493" s="20"/>
      <c r="J493" s="20"/>
      <c r="K493" s="20"/>
    </row>
    <row r="494" spans="1:11" ht="19.5" customHeight="1" x14ac:dyDescent="0.3">
      <c r="A494" s="22">
        <v>46045.616731180555</v>
      </c>
      <c r="B494" s="25">
        <v>48.8</v>
      </c>
      <c r="C494" s="20">
        <v>65</v>
      </c>
      <c r="D494" s="20">
        <v>65.260000000000005</v>
      </c>
      <c r="E494" s="20">
        <v>-0.26</v>
      </c>
      <c r="F494" s="20">
        <v>-0.04</v>
      </c>
      <c r="G494" s="20">
        <v>1672.81</v>
      </c>
      <c r="H494" s="20"/>
      <c r="I494" s="20"/>
      <c r="J494" s="20"/>
      <c r="K494" s="20"/>
    </row>
    <row r="495" spans="1:11" ht="19.5" customHeight="1" x14ac:dyDescent="0.3">
      <c r="A495" s="22">
        <v>46045.616732337963</v>
      </c>
      <c r="B495" s="20">
        <v>48.9</v>
      </c>
      <c r="C495" s="20">
        <v>65</v>
      </c>
      <c r="D495" s="20">
        <v>65.27</v>
      </c>
      <c r="E495" s="20">
        <v>-0.27</v>
      </c>
      <c r="F495" s="20">
        <v>-0.01</v>
      </c>
      <c r="G495" s="20">
        <v>1668.68</v>
      </c>
      <c r="H495" s="20"/>
      <c r="I495" s="20"/>
      <c r="J495" s="20"/>
      <c r="K495" s="20"/>
    </row>
    <row r="496" spans="1:11" ht="19.5" customHeight="1" x14ac:dyDescent="0.3">
      <c r="A496" s="22">
        <v>46045.616733483796</v>
      </c>
      <c r="B496" s="25">
        <v>49</v>
      </c>
      <c r="C496" s="20">
        <v>65</v>
      </c>
      <c r="D496" s="20">
        <v>65.209999999999994</v>
      </c>
      <c r="E496" s="20">
        <v>-0.21</v>
      </c>
      <c r="F496" s="20">
        <v>0.05</v>
      </c>
      <c r="G496" s="20">
        <v>1695.15</v>
      </c>
      <c r="H496" s="20"/>
      <c r="I496" s="20"/>
      <c r="J496" s="20"/>
      <c r="K496" s="20"/>
    </row>
    <row r="497" spans="1:11" ht="19.5" customHeight="1" x14ac:dyDescent="0.3">
      <c r="A497" s="22">
        <v>46045.616734641204</v>
      </c>
      <c r="B497" s="20">
        <v>49.1</v>
      </c>
      <c r="C497" s="20">
        <v>65</v>
      </c>
      <c r="D497" s="20">
        <v>65.27</v>
      </c>
      <c r="E497" s="20">
        <v>-0.27</v>
      </c>
      <c r="F497" s="20">
        <v>-0.05</v>
      </c>
      <c r="G497" s="20">
        <v>1668.68</v>
      </c>
      <c r="H497" s="20"/>
      <c r="I497" s="20"/>
      <c r="J497" s="20"/>
      <c r="K497" s="20"/>
    </row>
    <row r="498" spans="1:11" ht="19.5" customHeight="1" x14ac:dyDescent="0.3">
      <c r="A498" s="22">
        <v>46045.616735798612</v>
      </c>
      <c r="B498" s="25">
        <v>49.2</v>
      </c>
      <c r="C498" s="20">
        <v>65</v>
      </c>
      <c r="D498" s="20">
        <v>65.209999999999994</v>
      </c>
      <c r="E498" s="20">
        <v>-0.21</v>
      </c>
      <c r="F498" s="20">
        <v>0.06</v>
      </c>
      <c r="G498" s="20">
        <v>1697.11</v>
      </c>
      <c r="H498" s="20"/>
      <c r="I498" s="20"/>
      <c r="J498" s="20"/>
      <c r="K498" s="20"/>
    </row>
    <row r="499" spans="1:11" ht="19.5" customHeight="1" x14ac:dyDescent="0.3">
      <c r="A499" s="22">
        <v>46045.61673696759</v>
      </c>
      <c r="B499" s="25">
        <v>49.3</v>
      </c>
      <c r="C499" s="20">
        <v>65</v>
      </c>
      <c r="D499" s="20">
        <v>65.27</v>
      </c>
      <c r="E499" s="20">
        <v>-0.27</v>
      </c>
      <c r="F499" s="20">
        <v>-0.06</v>
      </c>
      <c r="G499" s="20">
        <v>1668.68</v>
      </c>
      <c r="H499" s="20"/>
      <c r="I499" s="20"/>
      <c r="J499" s="20"/>
      <c r="K499" s="20"/>
    </row>
    <row r="500" spans="1:11" ht="19.5" customHeight="1" x14ac:dyDescent="0.3">
      <c r="A500" s="22">
        <v>46045.61673814815</v>
      </c>
      <c r="B500" s="20">
        <v>49.4</v>
      </c>
      <c r="C500" s="20">
        <v>65</v>
      </c>
      <c r="D500" s="20">
        <v>65.25</v>
      </c>
      <c r="E500" s="20">
        <v>-0.25</v>
      </c>
      <c r="F500" s="20">
        <v>0.01</v>
      </c>
      <c r="G500" s="20">
        <v>1674.86</v>
      </c>
      <c r="H500" s="20"/>
      <c r="I500" s="20"/>
      <c r="J500" s="20"/>
      <c r="K500" s="20"/>
    </row>
    <row r="501" spans="1:11" ht="19.5" customHeight="1" x14ac:dyDescent="0.3">
      <c r="A501" s="22">
        <v>46045.61673927083</v>
      </c>
      <c r="B501" s="25">
        <v>49.5</v>
      </c>
      <c r="C501" s="20">
        <v>65</v>
      </c>
      <c r="D501" s="20">
        <v>65.25</v>
      </c>
      <c r="E501" s="20">
        <v>-0.25</v>
      </c>
      <c r="F501" s="20">
        <v>0</v>
      </c>
      <c r="G501" s="20">
        <v>1676.92</v>
      </c>
      <c r="H501" s="20"/>
      <c r="I501" s="20"/>
      <c r="J501" s="20"/>
      <c r="K501" s="20"/>
    </row>
    <row r="502" spans="1:11" ht="19.5" customHeight="1" x14ac:dyDescent="0.3">
      <c r="A502" s="22">
        <v>46045.616740451391</v>
      </c>
      <c r="B502" s="20">
        <v>49.6</v>
      </c>
      <c r="C502" s="20">
        <v>65</v>
      </c>
      <c r="D502" s="20">
        <v>65.23</v>
      </c>
      <c r="E502" s="20">
        <v>-0.23</v>
      </c>
      <c r="F502" s="20">
        <v>0.02</v>
      </c>
      <c r="G502" s="20">
        <v>1687.17</v>
      </c>
      <c r="H502" s="20"/>
      <c r="I502" s="20"/>
      <c r="J502" s="20"/>
      <c r="K502" s="20"/>
    </row>
    <row r="503" spans="1:11" ht="19.5" customHeight="1" x14ac:dyDescent="0.3">
      <c r="A503" s="22">
        <v>46045.616741597223</v>
      </c>
      <c r="B503" s="25">
        <v>49.7</v>
      </c>
      <c r="C503" s="20">
        <v>65</v>
      </c>
      <c r="D503" s="20">
        <v>65.23</v>
      </c>
      <c r="E503" s="20">
        <v>-0.23</v>
      </c>
      <c r="F503" s="20">
        <v>0</v>
      </c>
      <c r="G503" s="20">
        <v>1689.19</v>
      </c>
      <c r="H503" s="20"/>
      <c r="I503" s="20"/>
      <c r="J503" s="20"/>
      <c r="K503" s="20"/>
    </row>
    <row r="504" spans="1:11" ht="19.5" customHeight="1" x14ac:dyDescent="0.3">
      <c r="A504" s="22">
        <v>46045.6167427662</v>
      </c>
      <c r="B504" s="20">
        <v>49.8</v>
      </c>
      <c r="C504" s="20">
        <v>65</v>
      </c>
      <c r="D504" s="20">
        <v>65.260000000000005</v>
      </c>
      <c r="E504" s="20">
        <v>-0.26</v>
      </c>
      <c r="F504" s="20">
        <v>-0.04</v>
      </c>
      <c r="G504" s="20">
        <v>1670.75</v>
      </c>
      <c r="H504" s="20"/>
      <c r="I504" s="20"/>
      <c r="J504" s="20"/>
      <c r="K504" s="20"/>
    </row>
    <row r="505" spans="1:11" ht="19.5" customHeight="1" x14ac:dyDescent="0.3">
      <c r="A505" s="22">
        <v>46045.61674391204</v>
      </c>
      <c r="B505" s="25">
        <v>49.9</v>
      </c>
      <c r="C505" s="20">
        <v>65</v>
      </c>
      <c r="D505" s="20">
        <v>65.25</v>
      </c>
      <c r="E505" s="20">
        <v>-0.25</v>
      </c>
      <c r="F505" s="20">
        <v>0.01</v>
      </c>
      <c r="G505" s="20">
        <v>1676.92</v>
      </c>
      <c r="H505" s="20"/>
      <c r="I505" s="20"/>
      <c r="J505" s="20"/>
      <c r="K505" s="20"/>
    </row>
    <row r="506" spans="1:11" ht="19.5" customHeight="1" x14ac:dyDescent="0.3">
      <c r="A506" s="22">
        <v>46045.616745081017</v>
      </c>
      <c r="B506" s="25">
        <v>50</v>
      </c>
      <c r="C506" s="20">
        <v>65</v>
      </c>
      <c r="D506" s="20">
        <v>65.239999999999995</v>
      </c>
      <c r="E506" s="20">
        <v>-0.24</v>
      </c>
      <c r="F506" s="20">
        <v>0.01</v>
      </c>
      <c r="G506" s="20">
        <v>1683.11</v>
      </c>
      <c r="H506" s="20"/>
      <c r="I506" s="20"/>
      <c r="J506" s="20"/>
      <c r="K506" s="20"/>
    </row>
    <row r="507" spans="1:11" ht="19.5" customHeight="1" x14ac:dyDescent="0.3">
      <c r="A507" s="22">
        <v>46045.616746215281</v>
      </c>
      <c r="B507" s="20">
        <v>50.1</v>
      </c>
      <c r="C507" s="20">
        <v>65</v>
      </c>
      <c r="D507" s="20">
        <v>65.27</v>
      </c>
      <c r="E507" s="20">
        <v>-0.27</v>
      </c>
      <c r="F507" s="20">
        <v>-0.04</v>
      </c>
      <c r="G507" s="20">
        <v>1664.47</v>
      </c>
      <c r="H507" s="20"/>
      <c r="I507" s="20"/>
      <c r="J507" s="20"/>
      <c r="K507" s="20"/>
    </row>
    <row r="508" spans="1:11" ht="19.5" customHeight="1" x14ac:dyDescent="0.3">
      <c r="A508" s="22">
        <v>46045.616747384258</v>
      </c>
      <c r="B508" s="25">
        <v>50.2</v>
      </c>
      <c r="C508" s="20">
        <v>65</v>
      </c>
      <c r="D508" s="20">
        <v>65.27</v>
      </c>
      <c r="E508" s="20">
        <v>-0.27</v>
      </c>
      <c r="F508" s="20">
        <v>0.01</v>
      </c>
      <c r="G508" s="20">
        <v>1668.68</v>
      </c>
      <c r="H508" s="20"/>
      <c r="I508" s="20"/>
      <c r="J508" s="20"/>
      <c r="K508" s="20"/>
    </row>
    <row r="509" spans="1:11" ht="19.5" customHeight="1" x14ac:dyDescent="0.3">
      <c r="A509" s="22">
        <v>46045.616748553242</v>
      </c>
      <c r="B509" s="20">
        <v>50.3</v>
      </c>
      <c r="C509" s="20">
        <v>65</v>
      </c>
      <c r="D509" s="20">
        <v>65.260000000000005</v>
      </c>
      <c r="E509" s="20">
        <v>-0.26</v>
      </c>
      <c r="F509" s="20">
        <v>0</v>
      </c>
      <c r="G509" s="20">
        <v>1670.75</v>
      </c>
      <c r="H509" s="20"/>
      <c r="I509" s="20"/>
      <c r="J509" s="20"/>
      <c r="K509" s="20"/>
    </row>
    <row r="510" spans="1:11" ht="19.5" customHeight="1" x14ac:dyDescent="0.3">
      <c r="A510" s="22">
        <v>46045.61674972222</v>
      </c>
      <c r="B510" s="25">
        <v>50.4</v>
      </c>
      <c r="C510" s="20">
        <v>65</v>
      </c>
      <c r="D510" s="20">
        <v>65.28</v>
      </c>
      <c r="E510" s="20">
        <v>-0.28000000000000003</v>
      </c>
      <c r="F510" s="20">
        <v>-0.02</v>
      </c>
      <c r="G510" s="20">
        <v>1660.19</v>
      </c>
      <c r="H510" s="20"/>
      <c r="I510" s="20"/>
      <c r="J510" s="20"/>
      <c r="K510" s="20"/>
    </row>
    <row r="511" spans="1:11" ht="19.5" customHeight="1" x14ac:dyDescent="0.3">
      <c r="A511" s="22">
        <v>46045.616750856483</v>
      </c>
      <c r="B511" s="25">
        <v>50.5</v>
      </c>
      <c r="C511" s="20">
        <v>65</v>
      </c>
      <c r="D511" s="20">
        <v>65.25</v>
      </c>
      <c r="E511" s="20">
        <v>-0.25</v>
      </c>
      <c r="F511" s="20">
        <v>0.03</v>
      </c>
      <c r="G511" s="20">
        <v>1674.86</v>
      </c>
      <c r="H511" s="20"/>
      <c r="I511" s="20"/>
      <c r="J511" s="20"/>
      <c r="K511" s="20"/>
    </row>
    <row r="512" spans="1:11" ht="19.5" customHeight="1" x14ac:dyDescent="0.3">
      <c r="A512" s="22">
        <v>46045.616752002315</v>
      </c>
      <c r="B512" s="20">
        <v>50.6</v>
      </c>
      <c r="C512" s="20">
        <v>65</v>
      </c>
      <c r="D512" s="20">
        <v>65.27</v>
      </c>
      <c r="E512" s="20">
        <v>-0.27</v>
      </c>
      <c r="F512" s="20">
        <v>-0.01</v>
      </c>
      <c r="G512" s="20">
        <v>1668.68</v>
      </c>
      <c r="H512" s="20"/>
      <c r="I512" s="20"/>
      <c r="J512" s="20"/>
      <c r="K512" s="20"/>
    </row>
    <row r="513" spans="1:11" ht="19.5" customHeight="1" x14ac:dyDescent="0.3">
      <c r="A513" s="22">
        <v>46045.616753194445</v>
      </c>
      <c r="B513" s="25">
        <v>50.7</v>
      </c>
      <c r="C513" s="20">
        <v>65</v>
      </c>
      <c r="D513" s="20">
        <v>65.260000000000005</v>
      </c>
      <c r="E513" s="20">
        <v>-0.26</v>
      </c>
      <c r="F513" s="20">
        <v>0</v>
      </c>
      <c r="G513" s="20">
        <v>1670.75</v>
      </c>
      <c r="H513" s="20"/>
      <c r="I513" s="20"/>
      <c r="J513" s="20"/>
      <c r="K513" s="20"/>
    </row>
    <row r="514" spans="1:11" ht="19.5" customHeight="1" x14ac:dyDescent="0.3">
      <c r="A514" s="22">
        <v>46045.616754340277</v>
      </c>
      <c r="B514" s="20">
        <v>50.8</v>
      </c>
      <c r="C514" s="20">
        <v>65</v>
      </c>
      <c r="D514" s="20">
        <v>65.23</v>
      </c>
      <c r="E514" s="20">
        <v>-0.23</v>
      </c>
      <c r="F514" s="20">
        <v>0.03</v>
      </c>
      <c r="G514" s="20">
        <v>1685.16</v>
      </c>
      <c r="H514" s="20"/>
      <c r="I514" s="20"/>
      <c r="J514" s="20"/>
      <c r="K514" s="20"/>
    </row>
    <row r="515" spans="1:11" ht="19.5" customHeight="1" x14ac:dyDescent="0.3">
      <c r="A515" s="22">
        <v>46045.616755474533</v>
      </c>
      <c r="B515" s="25">
        <v>50.9</v>
      </c>
      <c r="C515" s="20">
        <v>65</v>
      </c>
      <c r="D515" s="20">
        <v>65.27</v>
      </c>
      <c r="E515" s="20">
        <v>-0.27</v>
      </c>
      <c r="F515" s="20">
        <v>-0.04</v>
      </c>
      <c r="G515" s="20">
        <v>1666.57</v>
      </c>
      <c r="H515" s="20"/>
      <c r="I515" s="20"/>
      <c r="J515" s="20"/>
      <c r="K515" s="20"/>
    </row>
    <row r="516" spans="1:11" ht="19.5" customHeight="1" x14ac:dyDescent="0.3">
      <c r="A516" s="22">
        <v>46045.616756631942</v>
      </c>
      <c r="B516" s="25">
        <v>51</v>
      </c>
      <c r="C516" s="20">
        <v>65</v>
      </c>
      <c r="D516" s="20">
        <v>65.27</v>
      </c>
      <c r="E516" s="20">
        <v>-0.27</v>
      </c>
      <c r="F516" s="20">
        <v>0</v>
      </c>
      <c r="G516" s="20">
        <v>1664.47</v>
      </c>
      <c r="H516" s="20"/>
      <c r="I516" s="20"/>
      <c r="J516" s="20"/>
      <c r="K516" s="20"/>
    </row>
    <row r="517" spans="1:11" ht="19.5" customHeight="1" x14ac:dyDescent="0.3">
      <c r="A517" s="22">
        <v>46045.616757812502</v>
      </c>
      <c r="B517" s="20">
        <v>51.1</v>
      </c>
      <c r="C517" s="20">
        <v>65</v>
      </c>
      <c r="D517" s="20">
        <v>65.22</v>
      </c>
      <c r="E517" s="20">
        <v>-0.22</v>
      </c>
      <c r="F517" s="20">
        <v>0.05</v>
      </c>
      <c r="G517" s="20">
        <v>1691.18</v>
      </c>
      <c r="H517" s="20"/>
      <c r="I517" s="20"/>
      <c r="J517" s="20"/>
      <c r="K517" s="20"/>
    </row>
    <row r="518" spans="1:11" ht="19.5" customHeight="1" x14ac:dyDescent="0.3">
      <c r="A518" s="22">
        <v>46045.616758958335</v>
      </c>
      <c r="B518" s="25">
        <v>51.2</v>
      </c>
      <c r="C518" s="20">
        <v>65</v>
      </c>
      <c r="D518" s="20">
        <v>65.25</v>
      </c>
      <c r="E518" s="20">
        <v>-0.25</v>
      </c>
      <c r="F518" s="20">
        <v>-0.03</v>
      </c>
      <c r="G518" s="20">
        <v>1676.92</v>
      </c>
      <c r="H518" s="20"/>
      <c r="I518" s="20"/>
      <c r="J518" s="20"/>
      <c r="K518" s="20"/>
    </row>
    <row r="519" spans="1:11" ht="19.5" customHeight="1" x14ac:dyDescent="0.3">
      <c r="A519" s="22">
        <v>46045.616760104167</v>
      </c>
      <c r="B519" s="20">
        <v>51.3</v>
      </c>
      <c r="C519" s="20">
        <v>65</v>
      </c>
      <c r="D519" s="20">
        <v>65.23</v>
      </c>
      <c r="E519" s="20">
        <v>-0.23</v>
      </c>
      <c r="F519" s="20">
        <v>0.02</v>
      </c>
      <c r="G519" s="20">
        <v>1685.16</v>
      </c>
      <c r="H519" s="20"/>
      <c r="I519" s="20"/>
      <c r="J519" s="20"/>
      <c r="K519" s="20"/>
    </row>
    <row r="520" spans="1:11" ht="19.5" customHeight="1" x14ac:dyDescent="0.3">
      <c r="A520" s="22">
        <v>46045.616761273151</v>
      </c>
      <c r="B520" s="25">
        <v>51.4</v>
      </c>
      <c r="C520" s="20">
        <v>65</v>
      </c>
      <c r="D520" s="20">
        <v>65.27</v>
      </c>
      <c r="E520" s="20">
        <v>-0.27</v>
      </c>
      <c r="F520" s="20">
        <v>-0.04</v>
      </c>
      <c r="G520" s="20">
        <v>1664.47</v>
      </c>
      <c r="H520" s="20"/>
      <c r="I520" s="20"/>
      <c r="J520" s="20"/>
      <c r="K520" s="20"/>
    </row>
    <row r="521" spans="1:11" ht="19.5" customHeight="1" x14ac:dyDescent="0.3">
      <c r="A521" s="22">
        <v>46045.616762442129</v>
      </c>
      <c r="B521" s="25">
        <v>51.5</v>
      </c>
      <c r="C521" s="20">
        <v>65</v>
      </c>
      <c r="D521" s="20">
        <v>65.239999999999995</v>
      </c>
      <c r="E521" s="20">
        <v>-0.24</v>
      </c>
      <c r="F521" s="20">
        <v>0.03</v>
      </c>
      <c r="G521" s="20">
        <v>1681.06</v>
      </c>
      <c r="H521" s="20"/>
      <c r="I521" s="20"/>
      <c r="J521" s="20"/>
      <c r="K521" s="20"/>
    </row>
    <row r="522" spans="1:11" ht="19.5" customHeight="1" x14ac:dyDescent="0.3">
      <c r="A522" s="22">
        <v>46045.616763587961</v>
      </c>
      <c r="B522" s="20">
        <v>51.6</v>
      </c>
      <c r="C522" s="20">
        <v>65</v>
      </c>
      <c r="D522" s="20">
        <v>65.290000000000006</v>
      </c>
      <c r="E522" s="20">
        <v>-0.28999999999999998</v>
      </c>
      <c r="F522" s="20">
        <v>-0.04</v>
      </c>
      <c r="G522" s="20">
        <v>1658.02</v>
      </c>
      <c r="H522" s="20"/>
      <c r="I522" s="20"/>
      <c r="J522" s="20"/>
      <c r="K522" s="20"/>
    </row>
    <row r="523" spans="1:11" ht="19.5" customHeight="1" x14ac:dyDescent="0.3">
      <c r="A523" s="22">
        <v>46045.616764745369</v>
      </c>
      <c r="B523" s="25">
        <v>51.7</v>
      </c>
      <c r="C523" s="20">
        <v>65</v>
      </c>
      <c r="D523" s="20">
        <v>65.27</v>
      </c>
      <c r="E523" s="20">
        <v>-0.27</v>
      </c>
      <c r="F523" s="20">
        <v>0.02</v>
      </c>
      <c r="G523" s="20">
        <v>1666.57</v>
      </c>
      <c r="H523" s="20"/>
      <c r="I523" s="20"/>
      <c r="J523" s="20"/>
      <c r="K523" s="20"/>
    </row>
    <row r="524" spans="1:11" ht="19.5" customHeight="1" x14ac:dyDescent="0.3">
      <c r="A524" s="22">
        <v>46045.616765902778</v>
      </c>
      <c r="B524" s="20">
        <v>51.8</v>
      </c>
      <c r="C524" s="20">
        <v>65</v>
      </c>
      <c r="D524" s="20">
        <v>65.31</v>
      </c>
      <c r="E524" s="20">
        <v>-0.31</v>
      </c>
      <c r="F524" s="20">
        <v>-0.04</v>
      </c>
      <c r="G524" s="20">
        <v>1647.01</v>
      </c>
      <c r="H524" s="20"/>
      <c r="I524" s="20"/>
      <c r="J524" s="20"/>
      <c r="K524" s="20"/>
    </row>
    <row r="525" spans="1:11" ht="19.5" customHeight="1" x14ac:dyDescent="0.3">
      <c r="A525" s="22">
        <v>46045.616767071762</v>
      </c>
      <c r="B525" s="25">
        <v>51.9</v>
      </c>
      <c r="C525" s="20">
        <v>65</v>
      </c>
      <c r="D525" s="20">
        <v>65.239999999999995</v>
      </c>
      <c r="E525" s="20">
        <v>-0.24</v>
      </c>
      <c r="F525" s="20">
        <v>0.06</v>
      </c>
      <c r="G525" s="20">
        <v>1681.06</v>
      </c>
      <c r="H525" s="20"/>
      <c r="I525" s="20"/>
      <c r="J525" s="20"/>
      <c r="K525" s="20"/>
    </row>
    <row r="526" spans="1:11" ht="19.5" customHeight="1" x14ac:dyDescent="0.3">
      <c r="A526" s="22">
        <v>46045.616768206019</v>
      </c>
      <c r="B526" s="20">
        <v>52</v>
      </c>
      <c r="C526" s="20">
        <v>65</v>
      </c>
      <c r="D526" s="20">
        <v>65.25</v>
      </c>
      <c r="E526" s="20">
        <v>-0.25</v>
      </c>
      <c r="F526" s="20">
        <v>0</v>
      </c>
      <c r="G526" s="20">
        <v>1678.99</v>
      </c>
      <c r="H526" s="20"/>
      <c r="I526" s="20"/>
      <c r="J526" s="20"/>
      <c r="K526" s="20"/>
    </row>
    <row r="527" spans="1:11" ht="19.5" customHeight="1" x14ac:dyDescent="0.3">
      <c r="A527" s="22">
        <v>46045.616769363427</v>
      </c>
      <c r="B527" s="25">
        <v>52.1</v>
      </c>
      <c r="C527" s="20">
        <v>65</v>
      </c>
      <c r="D527" s="20">
        <v>65.239999999999995</v>
      </c>
      <c r="E527" s="20">
        <v>-0.24</v>
      </c>
      <c r="F527" s="20">
        <v>0</v>
      </c>
      <c r="G527" s="20">
        <v>1681.06</v>
      </c>
      <c r="H527" s="20"/>
      <c r="I527" s="20"/>
      <c r="J527" s="20"/>
      <c r="K527" s="20"/>
    </row>
    <row r="528" spans="1:11" ht="19.5" customHeight="1" x14ac:dyDescent="0.3">
      <c r="A528" s="22">
        <v>46045.61677054398</v>
      </c>
      <c r="B528" s="25">
        <v>52.2</v>
      </c>
      <c r="C528" s="20">
        <v>65</v>
      </c>
      <c r="D528" s="20">
        <v>65.28</v>
      </c>
      <c r="E528" s="20">
        <v>-0.28000000000000003</v>
      </c>
      <c r="F528" s="20">
        <v>-0.04</v>
      </c>
      <c r="G528" s="20">
        <v>1662.33</v>
      </c>
      <c r="H528" s="20"/>
      <c r="I528" s="20"/>
      <c r="J528" s="20"/>
      <c r="K528" s="20"/>
    </row>
    <row r="529" spans="1:11" ht="19.5" customHeight="1" x14ac:dyDescent="0.3">
      <c r="A529" s="22">
        <v>46045.61677173611</v>
      </c>
      <c r="B529" s="20">
        <v>52.3</v>
      </c>
      <c r="C529" s="20">
        <v>65</v>
      </c>
      <c r="D529" s="20">
        <v>65.239999999999995</v>
      </c>
      <c r="E529" s="20">
        <v>-0.24</v>
      </c>
      <c r="F529" s="20">
        <v>0.04</v>
      </c>
      <c r="G529" s="20">
        <v>1683.11</v>
      </c>
      <c r="H529" s="20"/>
      <c r="I529" s="20"/>
      <c r="J529" s="20"/>
      <c r="K529" s="20"/>
    </row>
    <row r="530" spans="1:11" ht="19.5" customHeight="1" x14ac:dyDescent="0.3">
      <c r="A530" s="22">
        <v>46045.616772847221</v>
      </c>
      <c r="B530" s="25">
        <v>52.4</v>
      </c>
      <c r="C530" s="20">
        <v>65</v>
      </c>
      <c r="D530" s="20">
        <v>65.25</v>
      </c>
      <c r="E530" s="20">
        <v>-0.25</v>
      </c>
      <c r="F530" s="20">
        <v>-0.01</v>
      </c>
      <c r="G530" s="20">
        <v>1676.92</v>
      </c>
      <c r="H530" s="20"/>
      <c r="I530" s="20"/>
      <c r="J530" s="20"/>
      <c r="K530" s="20"/>
    </row>
    <row r="531" spans="1:11" ht="19.5" customHeight="1" x14ac:dyDescent="0.3">
      <c r="A531" s="22">
        <v>46045.616774004629</v>
      </c>
      <c r="B531" s="20">
        <v>52.5</v>
      </c>
      <c r="C531" s="20">
        <v>65</v>
      </c>
      <c r="D531" s="20">
        <v>65.22</v>
      </c>
      <c r="E531" s="20">
        <v>-0.22</v>
      </c>
      <c r="F531" s="20">
        <v>0.03</v>
      </c>
      <c r="G531" s="20">
        <v>1691.18</v>
      </c>
      <c r="H531" s="20"/>
      <c r="I531" s="20"/>
      <c r="J531" s="20"/>
      <c r="K531" s="20"/>
    </row>
    <row r="532" spans="1:11" ht="19.5" customHeight="1" x14ac:dyDescent="0.3">
      <c r="A532" s="22">
        <v>46045.616775150462</v>
      </c>
      <c r="B532" s="25">
        <v>52.6</v>
      </c>
      <c r="C532" s="20">
        <v>65</v>
      </c>
      <c r="D532" s="20">
        <v>65.23</v>
      </c>
      <c r="E532" s="20">
        <v>-0.23</v>
      </c>
      <c r="F532" s="20">
        <v>-0.01</v>
      </c>
      <c r="G532" s="20">
        <v>1687.17</v>
      </c>
      <c r="H532" s="20"/>
      <c r="I532" s="20"/>
      <c r="J532" s="20"/>
      <c r="K532" s="20"/>
    </row>
    <row r="533" spans="1:11" ht="19.5" customHeight="1" x14ac:dyDescent="0.3">
      <c r="A533" s="22">
        <v>46045.616776319446</v>
      </c>
      <c r="B533" s="20">
        <v>52.7</v>
      </c>
      <c r="C533" s="20">
        <v>65</v>
      </c>
      <c r="D533" s="20">
        <v>65.27</v>
      </c>
      <c r="E533" s="20">
        <v>-0.27</v>
      </c>
      <c r="F533" s="20">
        <v>-0.04</v>
      </c>
      <c r="G533" s="20">
        <v>1668.68</v>
      </c>
      <c r="H533" s="20"/>
      <c r="I533" s="20"/>
      <c r="J533" s="20"/>
      <c r="K533" s="20"/>
    </row>
    <row r="534" spans="1:11" ht="19.5" customHeight="1" x14ac:dyDescent="0.3">
      <c r="A534" s="22">
        <v>46045.616777476855</v>
      </c>
      <c r="B534" s="25">
        <v>52.8</v>
      </c>
      <c r="C534" s="20">
        <v>65</v>
      </c>
      <c r="D534" s="20">
        <v>65.27</v>
      </c>
      <c r="E534" s="20">
        <v>-0.27</v>
      </c>
      <c r="F534" s="20">
        <v>0</v>
      </c>
      <c r="G534" s="20">
        <v>1666.57</v>
      </c>
      <c r="H534" s="20"/>
      <c r="I534" s="20"/>
      <c r="J534" s="20"/>
      <c r="K534" s="20"/>
    </row>
    <row r="535" spans="1:11" ht="19.5" customHeight="1" x14ac:dyDescent="0.3">
      <c r="A535" s="22">
        <v>46045.616778634256</v>
      </c>
      <c r="B535" s="25">
        <v>52.9</v>
      </c>
      <c r="C535" s="20">
        <v>65</v>
      </c>
      <c r="D535" s="20">
        <v>65.25</v>
      </c>
      <c r="E535" s="20">
        <v>-0.25</v>
      </c>
      <c r="F535" s="20">
        <v>0.02</v>
      </c>
      <c r="G535" s="20">
        <v>1674.86</v>
      </c>
      <c r="H535" s="20"/>
      <c r="I535" s="20"/>
      <c r="J535" s="20"/>
      <c r="K535" s="20"/>
    </row>
    <row r="536" spans="1:11" ht="19.5" customHeight="1" x14ac:dyDescent="0.3">
      <c r="A536" s="22">
        <v>46045.61677980324</v>
      </c>
      <c r="B536" s="20">
        <v>53</v>
      </c>
      <c r="C536" s="20">
        <v>65</v>
      </c>
      <c r="D536" s="20">
        <v>65.290000000000006</v>
      </c>
      <c r="E536" s="20">
        <v>-0.28999999999999998</v>
      </c>
      <c r="F536" s="20">
        <v>-0.04</v>
      </c>
      <c r="G536" s="20">
        <v>1653.64</v>
      </c>
      <c r="H536" s="20"/>
      <c r="I536" s="20"/>
      <c r="J536" s="20"/>
      <c r="K536" s="20"/>
    </row>
    <row r="537" spans="1:11" ht="19.5" customHeight="1" x14ac:dyDescent="0.3">
      <c r="A537" s="22">
        <v>46045.616780949073</v>
      </c>
      <c r="B537" s="25">
        <v>53.1</v>
      </c>
      <c r="C537" s="20">
        <v>65</v>
      </c>
      <c r="D537" s="20">
        <v>65.290000000000006</v>
      </c>
      <c r="E537" s="20">
        <v>-0.28999999999999998</v>
      </c>
      <c r="F537" s="20">
        <v>0</v>
      </c>
      <c r="G537" s="20">
        <v>1653.64</v>
      </c>
      <c r="H537" s="20"/>
      <c r="I537" s="20"/>
      <c r="J537" s="20"/>
      <c r="K537" s="20"/>
    </row>
    <row r="538" spans="1:11" ht="19.5" customHeight="1" x14ac:dyDescent="0.3">
      <c r="A538" s="22">
        <v>46045.616782106481</v>
      </c>
      <c r="B538" s="20">
        <v>53.2</v>
      </c>
      <c r="C538" s="20">
        <v>65</v>
      </c>
      <c r="D538" s="20">
        <v>65.31</v>
      </c>
      <c r="E538" s="20">
        <v>-0.31</v>
      </c>
      <c r="F538" s="20">
        <v>-0.02</v>
      </c>
      <c r="G538" s="20">
        <v>1642.54</v>
      </c>
      <c r="H538" s="20"/>
      <c r="I538" s="20"/>
      <c r="J538" s="20"/>
      <c r="K538" s="20"/>
    </row>
    <row r="539" spans="1:11" ht="19.5" customHeight="1" x14ac:dyDescent="0.3">
      <c r="A539" s="22">
        <v>46045.616783252313</v>
      </c>
      <c r="B539" s="25">
        <v>53.3</v>
      </c>
      <c r="C539" s="20">
        <v>65</v>
      </c>
      <c r="D539" s="20">
        <v>65.31</v>
      </c>
      <c r="E539" s="20">
        <v>-0.31</v>
      </c>
      <c r="F539" s="20">
        <v>0</v>
      </c>
      <c r="G539" s="20">
        <v>1644.79</v>
      </c>
      <c r="H539" s="20"/>
      <c r="I539" s="20"/>
      <c r="J539" s="20"/>
      <c r="K539" s="20"/>
    </row>
    <row r="540" spans="1:11" ht="19.5" customHeight="1" x14ac:dyDescent="0.3">
      <c r="A540" s="22">
        <v>46045.616784421298</v>
      </c>
      <c r="B540" s="20">
        <v>53.4</v>
      </c>
      <c r="C540" s="20">
        <v>65</v>
      </c>
      <c r="D540" s="20">
        <v>65.319999999999993</v>
      </c>
      <c r="E540" s="20">
        <v>-0.32</v>
      </c>
      <c r="F540" s="20">
        <v>-0.01</v>
      </c>
      <c r="G540" s="20">
        <v>1637.99</v>
      </c>
      <c r="H540" s="20"/>
      <c r="I540" s="20"/>
      <c r="J540" s="20"/>
      <c r="K540" s="20"/>
    </row>
    <row r="541" spans="1:11" ht="19.5" customHeight="1" x14ac:dyDescent="0.3">
      <c r="A541" s="22">
        <v>46045.616785590275</v>
      </c>
      <c r="B541" s="25">
        <v>53.5</v>
      </c>
      <c r="C541" s="20">
        <v>65</v>
      </c>
      <c r="D541" s="20">
        <v>65.3</v>
      </c>
      <c r="E541" s="20">
        <v>-0.3</v>
      </c>
      <c r="F541" s="20">
        <v>0.02</v>
      </c>
      <c r="G541" s="20">
        <v>1651.41</v>
      </c>
      <c r="H541" s="20"/>
      <c r="I541" s="20"/>
      <c r="J541" s="20"/>
      <c r="K541" s="20"/>
    </row>
    <row r="542" spans="1:11" ht="19.5" customHeight="1" x14ac:dyDescent="0.3">
      <c r="A542" s="22">
        <v>46045.616786736115</v>
      </c>
      <c r="B542" s="25">
        <v>53.6</v>
      </c>
      <c r="C542" s="20">
        <v>65</v>
      </c>
      <c r="D542" s="20">
        <v>65.3</v>
      </c>
      <c r="E542" s="20">
        <v>-0.3</v>
      </c>
      <c r="F542" s="20">
        <v>0</v>
      </c>
      <c r="G542" s="20">
        <v>1649.21</v>
      </c>
      <c r="H542" s="20"/>
      <c r="I542" s="20"/>
      <c r="J542" s="20"/>
      <c r="K542" s="20"/>
    </row>
    <row r="543" spans="1:11" ht="19.5" customHeight="1" x14ac:dyDescent="0.3">
      <c r="A543" s="22">
        <v>46045.616787893516</v>
      </c>
      <c r="B543" s="20">
        <v>53.7</v>
      </c>
      <c r="C543" s="20">
        <v>65</v>
      </c>
      <c r="D543" s="20">
        <v>65.33</v>
      </c>
      <c r="E543" s="20">
        <v>-0.33</v>
      </c>
      <c r="F543" s="20">
        <v>-0.02</v>
      </c>
      <c r="G543" s="20">
        <v>1635.68</v>
      </c>
      <c r="H543" s="20"/>
      <c r="I543" s="20"/>
      <c r="J543" s="20"/>
      <c r="K543" s="20"/>
    </row>
    <row r="544" spans="1:11" ht="19.5" customHeight="1" x14ac:dyDescent="0.3">
      <c r="A544" s="22">
        <v>46045.616789050924</v>
      </c>
      <c r="B544" s="25">
        <v>53.8</v>
      </c>
      <c r="C544" s="20">
        <v>65</v>
      </c>
      <c r="D544" s="20">
        <v>65.319999999999993</v>
      </c>
      <c r="E544" s="20">
        <v>-0.32</v>
      </c>
      <c r="F544" s="20">
        <v>0</v>
      </c>
      <c r="G544" s="20">
        <v>1637.99</v>
      </c>
      <c r="H544" s="20"/>
      <c r="I544" s="20"/>
      <c r="J544" s="20"/>
      <c r="K544" s="20"/>
    </row>
    <row r="545" spans="1:11" ht="19.5" customHeight="1" x14ac:dyDescent="0.3">
      <c r="A545" s="22">
        <v>46045.616790208333</v>
      </c>
      <c r="B545" s="20">
        <v>53.9</v>
      </c>
      <c r="C545" s="20">
        <v>65</v>
      </c>
      <c r="D545" s="20">
        <v>65.260000000000005</v>
      </c>
      <c r="E545" s="20">
        <v>-0.26</v>
      </c>
      <c r="F545" s="20">
        <v>0.06</v>
      </c>
      <c r="G545" s="20">
        <v>1670.75</v>
      </c>
      <c r="H545" s="20"/>
      <c r="I545" s="20"/>
      <c r="J545" s="20"/>
      <c r="K545" s="20"/>
    </row>
    <row r="546" spans="1:11" ht="19.5" customHeight="1" x14ac:dyDescent="0.3">
      <c r="A546" s="22">
        <v>46045.616791377317</v>
      </c>
      <c r="B546" s="25">
        <v>54</v>
      </c>
      <c r="C546" s="20">
        <v>65</v>
      </c>
      <c r="D546" s="20">
        <v>65.28</v>
      </c>
      <c r="E546" s="20">
        <v>-0.28000000000000003</v>
      </c>
      <c r="F546" s="20">
        <v>-0.02</v>
      </c>
      <c r="G546" s="20">
        <v>1660.19</v>
      </c>
      <c r="H546" s="20"/>
      <c r="I546" s="20"/>
      <c r="J546" s="20"/>
      <c r="K546" s="20"/>
    </row>
    <row r="547" spans="1:11" ht="19.5" customHeight="1" x14ac:dyDescent="0.3">
      <c r="A547" s="22">
        <v>46045.616792534725</v>
      </c>
      <c r="B547" s="25">
        <v>54.1</v>
      </c>
      <c r="C547" s="20">
        <v>65</v>
      </c>
      <c r="D547" s="20">
        <v>65.27</v>
      </c>
      <c r="E547" s="20">
        <v>-0.27</v>
      </c>
      <c r="F547" s="20">
        <v>0.01</v>
      </c>
      <c r="G547" s="20">
        <v>1666.57</v>
      </c>
      <c r="H547" s="20"/>
      <c r="I547" s="20"/>
      <c r="J547" s="20"/>
      <c r="K547" s="20"/>
    </row>
    <row r="548" spans="1:11" ht="19.5" customHeight="1" x14ac:dyDescent="0.3">
      <c r="A548" s="22">
        <v>46045.616793680558</v>
      </c>
      <c r="B548" s="20">
        <v>54.2</v>
      </c>
      <c r="C548" s="20">
        <v>65</v>
      </c>
      <c r="D548" s="20">
        <v>65.25</v>
      </c>
      <c r="E548" s="20">
        <v>-0.25</v>
      </c>
      <c r="F548" s="20">
        <v>0.02</v>
      </c>
      <c r="G548" s="20">
        <v>1676.92</v>
      </c>
      <c r="H548" s="20"/>
      <c r="I548" s="20"/>
      <c r="J548" s="20"/>
      <c r="K548" s="20"/>
    </row>
    <row r="549" spans="1:11" ht="19.5" customHeight="1" x14ac:dyDescent="0.3">
      <c r="A549" s="22">
        <v>46045.61679482639</v>
      </c>
      <c r="B549" s="25">
        <v>54.3</v>
      </c>
      <c r="C549" s="20">
        <v>65</v>
      </c>
      <c r="D549" s="20">
        <v>65.290000000000006</v>
      </c>
      <c r="E549" s="20">
        <v>-0.28999999999999998</v>
      </c>
      <c r="F549" s="20">
        <v>-0.04</v>
      </c>
      <c r="G549" s="20">
        <v>1653.64</v>
      </c>
      <c r="H549" s="20"/>
      <c r="I549" s="20"/>
      <c r="J549" s="20"/>
      <c r="K549" s="20"/>
    </row>
    <row r="550" spans="1:11" ht="19.5" customHeight="1" x14ac:dyDescent="0.3">
      <c r="A550" s="22">
        <v>46045.616795995367</v>
      </c>
      <c r="B550" s="20">
        <v>54.4</v>
      </c>
      <c r="C550" s="20">
        <v>65</v>
      </c>
      <c r="D550" s="20">
        <v>65.27</v>
      </c>
      <c r="E550" s="20">
        <v>-0.27</v>
      </c>
      <c r="F550" s="20">
        <v>0.02</v>
      </c>
      <c r="G550" s="20">
        <v>1666.57</v>
      </c>
      <c r="H550" s="20"/>
      <c r="I550" s="20"/>
      <c r="J550" s="20"/>
      <c r="K550" s="20"/>
    </row>
    <row r="551" spans="1:11" ht="19.5" customHeight="1" x14ac:dyDescent="0.3">
      <c r="A551" s="22">
        <v>46045.616797152776</v>
      </c>
      <c r="B551" s="25">
        <v>54.5</v>
      </c>
      <c r="C551" s="20">
        <v>65</v>
      </c>
      <c r="D551" s="20">
        <v>65.27</v>
      </c>
      <c r="E551" s="20">
        <v>-0.27</v>
      </c>
      <c r="F551" s="20">
        <v>0</v>
      </c>
      <c r="G551" s="20">
        <v>1666.57</v>
      </c>
      <c r="H551" s="20"/>
      <c r="I551" s="20"/>
      <c r="J551" s="20"/>
      <c r="K551" s="20"/>
    </row>
    <row r="552" spans="1:11" ht="19.5" customHeight="1" x14ac:dyDescent="0.3">
      <c r="A552" s="22">
        <v>46045.616798310184</v>
      </c>
      <c r="B552" s="25">
        <v>54.6</v>
      </c>
      <c r="C552" s="20">
        <v>65</v>
      </c>
      <c r="D552" s="20">
        <v>65.25</v>
      </c>
      <c r="E552" s="20">
        <v>-0.25</v>
      </c>
      <c r="F552" s="20">
        <v>0.02</v>
      </c>
      <c r="G552" s="20">
        <v>1678.99</v>
      </c>
      <c r="H552" s="20"/>
      <c r="I552" s="20"/>
      <c r="J552" s="20"/>
      <c r="K552" s="20"/>
    </row>
    <row r="553" spans="1:11" ht="19.5" customHeight="1" x14ac:dyDescent="0.3">
      <c r="A553" s="22">
        <v>46045.616799467593</v>
      </c>
      <c r="B553" s="20">
        <v>54.7</v>
      </c>
      <c r="C553" s="20">
        <v>65</v>
      </c>
      <c r="D553" s="20">
        <v>65.260000000000005</v>
      </c>
      <c r="E553" s="20">
        <v>-0.26</v>
      </c>
      <c r="F553" s="20">
        <v>-0.02</v>
      </c>
      <c r="G553" s="20">
        <v>1670.75</v>
      </c>
      <c r="H553" s="20"/>
      <c r="I553" s="20"/>
      <c r="J553" s="20"/>
      <c r="K553" s="20"/>
    </row>
    <row r="554" spans="1:11" ht="19.5" customHeight="1" x14ac:dyDescent="0.3">
      <c r="A554" s="22">
        <v>46045.616800625001</v>
      </c>
      <c r="B554" s="25">
        <v>54.8</v>
      </c>
      <c r="C554" s="20">
        <v>65</v>
      </c>
      <c r="D554" s="20">
        <v>65.31</v>
      </c>
      <c r="E554" s="20">
        <v>-0.31</v>
      </c>
      <c r="F554" s="20">
        <v>-0.05</v>
      </c>
      <c r="G554" s="20">
        <v>1644.79</v>
      </c>
      <c r="H554" s="20"/>
      <c r="I554" s="20"/>
      <c r="J554" s="20"/>
      <c r="K554" s="20"/>
    </row>
    <row r="555" spans="1:11" ht="19.5" customHeight="1" x14ac:dyDescent="0.3">
      <c r="A555" s="22">
        <v>46045.616801782409</v>
      </c>
      <c r="B555" s="20">
        <v>54.9</v>
      </c>
      <c r="C555" s="20">
        <v>65</v>
      </c>
      <c r="D555" s="20">
        <v>65.290000000000006</v>
      </c>
      <c r="E555" s="20">
        <v>-0.28999999999999998</v>
      </c>
      <c r="F555" s="20">
        <v>0.02</v>
      </c>
      <c r="G555" s="20">
        <v>1653.64</v>
      </c>
      <c r="H555" s="20"/>
      <c r="I555" s="20"/>
      <c r="J555" s="20"/>
      <c r="K555" s="20"/>
    </row>
    <row r="556" spans="1:11" ht="19.5" customHeight="1" x14ac:dyDescent="0.3">
      <c r="A556" s="22">
        <v>46045.616802951386</v>
      </c>
      <c r="B556" s="25">
        <v>55</v>
      </c>
      <c r="C556" s="20">
        <v>65</v>
      </c>
      <c r="D556" s="20">
        <v>65.290000000000006</v>
      </c>
      <c r="E556" s="20">
        <v>-0.28999999999999998</v>
      </c>
      <c r="F556" s="20">
        <v>0.01</v>
      </c>
      <c r="G556" s="20">
        <v>1658.02</v>
      </c>
      <c r="H556" s="20"/>
      <c r="I556" s="20"/>
      <c r="J556" s="20"/>
      <c r="K556" s="20"/>
    </row>
    <row r="557" spans="1:11" ht="19.5" customHeight="1" x14ac:dyDescent="0.3">
      <c r="A557" s="22">
        <v>46045.616804097219</v>
      </c>
      <c r="B557" s="20">
        <v>55.1</v>
      </c>
      <c r="C557" s="20">
        <v>65</v>
      </c>
      <c r="D557" s="20">
        <v>65.28</v>
      </c>
      <c r="E557" s="20">
        <v>-0.28000000000000003</v>
      </c>
      <c r="F557" s="20">
        <v>0.01</v>
      </c>
      <c r="G557" s="20">
        <v>1662.33</v>
      </c>
      <c r="H557" s="20"/>
      <c r="I557" s="20"/>
      <c r="J557" s="20"/>
      <c r="K557" s="20"/>
    </row>
    <row r="558" spans="1:11" ht="19.5" customHeight="1" x14ac:dyDescent="0.3">
      <c r="A558" s="22">
        <v>46045.616805266203</v>
      </c>
      <c r="B558" s="25">
        <v>55.2</v>
      </c>
      <c r="C558" s="20">
        <v>65</v>
      </c>
      <c r="D558" s="20">
        <v>65.260000000000005</v>
      </c>
      <c r="E558" s="20">
        <v>-0.26</v>
      </c>
      <c r="F558" s="20">
        <v>0.02</v>
      </c>
      <c r="G558" s="20">
        <v>1670.75</v>
      </c>
      <c r="H558" s="20"/>
      <c r="I558" s="20"/>
      <c r="J558" s="20"/>
      <c r="K558" s="20"/>
    </row>
    <row r="559" spans="1:11" ht="19.5" customHeight="1" x14ac:dyDescent="0.3">
      <c r="A559" s="22">
        <v>46045.616806412036</v>
      </c>
      <c r="B559" s="25">
        <v>55.3</v>
      </c>
      <c r="C559" s="20">
        <v>65</v>
      </c>
      <c r="D559" s="20">
        <v>65.25</v>
      </c>
      <c r="E559" s="20">
        <v>-0.25</v>
      </c>
      <c r="F559" s="20">
        <v>0.02</v>
      </c>
      <c r="G559" s="20">
        <v>1678.99</v>
      </c>
      <c r="H559" s="20"/>
      <c r="I559" s="20"/>
      <c r="J559" s="20"/>
      <c r="K559" s="20"/>
    </row>
    <row r="560" spans="1:11" ht="19.5" customHeight="1" x14ac:dyDescent="0.3">
      <c r="A560" s="22">
        <v>46045.616807557868</v>
      </c>
      <c r="B560" s="20">
        <v>55.4</v>
      </c>
      <c r="C560" s="20">
        <v>65</v>
      </c>
      <c r="D560" s="20">
        <v>65.23</v>
      </c>
      <c r="E560" s="20">
        <v>-0.23</v>
      </c>
      <c r="F560" s="20">
        <v>0.02</v>
      </c>
      <c r="G560" s="20">
        <v>1689.19</v>
      </c>
      <c r="H560" s="20"/>
      <c r="I560" s="20"/>
      <c r="J560" s="20"/>
      <c r="K560" s="20"/>
    </row>
    <row r="561" spans="1:11" ht="19.5" customHeight="1" x14ac:dyDescent="0.3">
      <c r="A561" s="22">
        <v>46045.616808726852</v>
      </c>
      <c r="B561" s="25">
        <v>55.5</v>
      </c>
      <c r="C561" s="20">
        <v>65</v>
      </c>
      <c r="D561" s="20">
        <v>65.27</v>
      </c>
      <c r="E561" s="20">
        <v>-0.27</v>
      </c>
      <c r="F561" s="20">
        <v>-0.05</v>
      </c>
      <c r="G561" s="20">
        <v>1664.47</v>
      </c>
      <c r="H561" s="20"/>
      <c r="I561" s="20"/>
      <c r="J561" s="20"/>
      <c r="K561" s="20"/>
    </row>
    <row r="562" spans="1:11" ht="19.5" customHeight="1" x14ac:dyDescent="0.3">
      <c r="A562" s="22">
        <v>46045.616809884261</v>
      </c>
      <c r="B562" s="20">
        <v>55.6</v>
      </c>
      <c r="C562" s="20">
        <v>65</v>
      </c>
      <c r="D562" s="20">
        <v>65.23</v>
      </c>
      <c r="E562" s="20">
        <v>-0.23</v>
      </c>
      <c r="F562" s="20">
        <v>0.04</v>
      </c>
      <c r="G562" s="20">
        <v>1685.16</v>
      </c>
      <c r="H562" s="20"/>
      <c r="I562" s="20"/>
      <c r="J562" s="20"/>
      <c r="K562" s="20"/>
    </row>
    <row r="563" spans="1:11" ht="19.5" customHeight="1" x14ac:dyDescent="0.3">
      <c r="A563" s="22">
        <v>46045.616811030093</v>
      </c>
      <c r="B563" s="25">
        <v>55.7</v>
      </c>
      <c r="C563" s="20">
        <v>65</v>
      </c>
      <c r="D563" s="20">
        <v>65.239999999999995</v>
      </c>
      <c r="E563" s="20">
        <v>-0.24</v>
      </c>
      <c r="F563" s="20">
        <v>0</v>
      </c>
      <c r="G563" s="20">
        <v>1683.11</v>
      </c>
      <c r="H563" s="20"/>
      <c r="I563" s="20"/>
      <c r="J563" s="20"/>
      <c r="K563" s="20"/>
    </row>
    <row r="564" spans="1:11" ht="19.5" customHeight="1" x14ac:dyDescent="0.3">
      <c r="A564" s="22">
        <v>46045.616812210646</v>
      </c>
      <c r="B564" s="25">
        <v>55.8</v>
      </c>
      <c r="C564" s="20">
        <v>65</v>
      </c>
      <c r="D564" s="20">
        <v>65.239999999999995</v>
      </c>
      <c r="E564" s="20">
        <v>-0.24</v>
      </c>
      <c r="F564" s="20">
        <v>0</v>
      </c>
      <c r="G564" s="20">
        <v>1683.11</v>
      </c>
      <c r="H564" s="20"/>
      <c r="I564" s="20"/>
      <c r="J564" s="20"/>
      <c r="K564" s="20"/>
    </row>
    <row r="565" spans="1:11" ht="19.5" customHeight="1" x14ac:dyDescent="0.3">
      <c r="A565" s="22">
        <v>46045.616813356479</v>
      </c>
      <c r="B565" s="20">
        <v>55.9</v>
      </c>
      <c r="C565" s="20">
        <v>65</v>
      </c>
      <c r="D565" s="20">
        <v>65.260000000000005</v>
      </c>
      <c r="E565" s="20">
        <v>-0.26</v>
      </c>
      <c r="F565" s="20">
        <v>-0.02</v>
      </c>
      <c r="G565" s="20">
        <v>1672.81</v>
      </c>
      <c r="H565" s="20"/>
      <c r="I565" s="20"/>
      <c r="J565" s="20"/>
      <c r="K565" s="20"/>
    </row>
    <row r="566" spans="1:11" ht="19.5" customHeight="1" x14ac:dyDescent="0.3">
      <c r="A566" s="22">
        <v>46045.616814525463</v>
      </c>
      <c r="B566" s="25">
        <v>56</v>
      </c>
      <c r="C566" s="20">
        <v>65</v>
      </c>
      <c r="D566" s="20">
        <v>65.23</v>
      </c>
      <c r="E566" s="20">
        <v>-0.23</v>
      </c>
      <c r="F566" s="20">
        <v>0.03</v>
      </c>
      <c r="G566" s="20">
        <v>1687.17</v>
      </c>
      <c r="H566" s="20"/>
      <c r="I566" s="20"/>
      <c r="J566" s="20"/>
      <c r="K566" s="20"/>
    </row>
    <row r="567" spans="1:11" ht="19.5" customHeight="1" x14ac:dyDescent="0.3">
      <c r="A567" s="22">
        <v>46045.616815671296</v>
      </c>
      <c r="B567" s="25">
        <v>56.1</v>
      </c>
      <c r="C567" s="20">
        <v>65</v>
      </c>
      <c r="D567" s="20">
        <v>65.260000000000005</v>
      </c>
      <c r="E567" s="20">
        <v>-0.26</v>
      </c>
      <c r="F567" s="20">
        <v>-0.03</v>
      </c>
      <c r="G567" s="20">
        <v>1670.75</v>
      </c>
      <c r="H567" s="20"/>
      <c r="I567" s="20"/>
      <c r="J567" s="20"/>
      <c r="K567" s="20"/>
    </row>
    <row r="568" spans="1:11" ht="19.5" customHeight="1" x14ac:dyDescent="0.3">
      <c r="A568" s="22">
        <v>46045.616816828704</v>
      </c>
      <c r="B568" s="20">
        <v>56.2</v>
      </c>
      <c r="C568" s="20">
        <v>65</v>
      </c>
      <c r="D568" s="20">
        <v>65.25</v>
      </c>
      <c r="E568" s="20">
        <v>-0.25</v>
      </c>
      <c r="F568" s="20">
        <v>0.01</v>
      </c>
      <c r="G568" s="20">
        <v>1674.86</v>
      </c>
      <c r="H568" s="20"/>
      <c r="I568" s="20"/>
      <c r="J568" s="20"/>
      <c r="K568" s="20"/>
    </row>
    <row r="569" spans="1:11" ht="19.5" customHeight="1" x14ac:dyDescent="0.3">
      <c r="A569" s="22">
        <v>46045.616817974536</v>
      </c>
      <c r="B569" s="25">
        <v>56.3</v>
      </c>
      <c r="C569" s="20">
        <v>65</v>
      </c>
      <c r="D569" s="20">
        <v>65.260000000000005</v>
      </c>
      <c r="E569" s="20">
        <v>-0.26</v>
      </c>
      <c r="F569" s="20">
        <v>-0.01</v>
      </c>
      <c r="G569" s="20">
        <v>1670.75</v>
      </c>
      <c r="H569" s="20"/>
      <c r="I569" s="20"/>
      <c r="J569" s="20"/>
      <c r="K569" s="20"/>
    </row>
    <row r="570" spans="1:11" ht="19.5" customHeight="1" x14ac:dyDescent="0.3">
      <c r="A570" s="22">
        <v>46045.616819143521</v>
      </c>
      <c r="B570" s="20">
        <v>56.4</v>
      </c>
      <c r="C570" s="20">
        <v>65</v>
      </c>
      <c r="D570" s="20">
        <v>65.23</v>
      </c>
      <c r="E570" s="20">
        <v>-0.23</v>
      </c>
      <c r="F570" s="20">
        <v>0.03</v>
      </c>
      <c r="G570" s="20">
        <v>1687.17</v>
      </c>
      <c r="H570" s="20"/>
      <c r="I570" s="20"/>
      <c r="J570" s="20"/>
      <c r="K570" s="20"/>
    </row>
    <row r="571" spans="1:11" ht="19.5" customHeight="1" x14ac:dyDescent="0.3">
      <c r="A571" s="22">
        <v>46045.61682033565</v>
      </c>
      <c r="B571" s="25">
        <v>56.5</v>
      </c>
      <c r="C571" s="20">
        <v>65</v>
      </c>
      <c r="D571" s="20">
        <v>65.27</v>
      </c>
      <c r="E571" s="20">
        <v>-0.27</v>
      </c>
      <c r="F571" s="20">
        <v>-0.04</v>
      </c>
      <c r="G571" s="20">
        <v>1666.57</v>
      </c>
      <c r="H571" s="20"/>
      <c r="I571" s="20"/>
      <c r="J571" s="20"/>
      <c r="K571" s="20"/>
    </row>
    <row r="572" spans="1:11" ht="19.5" customHeight="1" x14ac:dyDescent="0.3">
      <c r="A572" s="22">
        <v>46045.616821446762</v>
      </c>
      <c r="B572" s="25">
        <v>56.6</v>
      </c>
      <c r="C572" s="20">
        <v>65</v>
      </c>
      <c r="D572" s="20">
        <v>65.209999999999994</v>
      </c>
      <c r="E572" s="20">
        <v>-0.21</v>
      </c>
      <c r="F572" s="20">
        <v>0.06</v>
      </c>
      <c r="G572" s="20">
        <v>1697.11</v>
      </c>
      <c r="H572" s="20"/>
      <c r="I572" s="20"/>
      <c r="J572" s="20"/>
      <c r="K572" s="20"/>
    </row>
    <row r="573" spans="1:11" ht="19.5" customHeight="1" x14ac:dyDescent="0.3">
      <c r="A573" s="22">
        <v>46045.61682260417</v>
      </c>
      <c r="B573" s="20">
        <v>56.7</v>
      </c>
      <c r="C573" s="20">
        <v>65</v>
      </c>
      <c r="D573" s="20">
        <v>65.239999999999995</v>
      </c>
      <c r="E573" s="20">
        <v>-0.24</v>
      </c>
      <c r="F573" s="20">
        <v>-0.03</v>
      </c>
      <c r="G573" s="20">
        <v>1681.06</v>
      </c>
      <c r="H573" s="20"/>
      <c r="I573" s="20"/>
      <c r="J573" s="20"/>
      <c r="K573" s="20"/>
    </row>
    <row r="574" spans="1:11" ht="19.5" customHeight="1" x14ac:dyDescent="0.3">
      <c r="A574" s="22">
        <v>46045.616823761571</v>
      </c>
      <c r="B574" s="25">
        <v>56.8</v>
      </c>
      <c r="C574" s="20">
        <v>65</v>
      </c>
      <c r="D574" s="20">
        <v>65.290000000000006</v>
      </c>
      <c r="E574" s="20">
        <v>-0.28999999999999998</v>
      </c>
      <c r="F574" s="20">
        <v>-0.04</v>
      </c>
      <c r="G574" s="20">
        <v>1658.02</v>
      </c>
      <c r="H574" s="20"/>
      <c r="I574" s="20"/>
      <c r="J574" s="20"/>
      <c r="K574" s="20"/>
    </row>
    <row r="575" spans="1:11" ht="19.5" customHeight="1" x14ac:dyDescent="0.3">
      <c r="A575" s="22">
        <v>46045.616824930556</v>
      </c>
      <c r="B575" s="20">
        <v>56.9</v>
      </c>
      <c r="C575" s="20">
        <v>65</v>
      </c>
      <c r="D575" s="20">
        <v>65.22</v>
      </c>
      <c r="E575" s="20">
        <v>-0.22</v>
      </c>
      <c r="F575" s="20">
        <v>7.0000000000000007E-2</v>
      </c>
      <c r="G575" s="20">
        <v>1693.18</v>
      </c>
      <c r="H575" s="20"/>
      <c r="I575" s="20"/>
      <c r="J575" s="20"/>
      <c r="K575" s="20"/>
    </row>
    <row r="576" spans="1:11" ht="19.5" customHeight="1" x14ac:dyDescent="0.3">
      <c r="A576" s="22">
        <v>46045.61682609954</v>
      </c>
      <c r="B576" s="25">
        <v>57</v>
      </c>
      <c r="C576" s="20">
        <v>65</v>
      </c>
      <c r="D576" s="20">
        <v>65.239999999999995</v>
      </c>
      <c r="E576" s="20">
        <v>-0.24</v>
      </c>
      <c r="F576" s="20">
        <v>-0.02</v>
      </c>
      <c r="G576" s="20">
        <v>1683.11</v>
      </c>
      <c r="H576" s="20"/>
      <c r="I576" s="20"/>
      <c r="J576" s="20"/>
      <c r="K576" s="20"/>
    </row>
    <row r="577" spans="1:11" ht="19.5" customHeight="1" x14ac:dyDescent="0.3">
      <c r="A577" s="22">
        <v>46045.616827245372</v>
      </c>
      <c r="B577" s="25">
        <v>57.1</v>
      </c>
      <c r="C577" s="20">
        <v>65</v>
      </c>
      <c r="D577" s="20">
        <v>65.239999999999995</v>
      </c>
      <c r="E577" s="20">
        <v>-0.24</v>
      </c>
      <c r="F577" s="20">
        <v>0</v>
      </c>
      <c r="G577" s="20">
        <v>1681.06</v>
      </c>
      <c r="H577" s="20"/>
      <c r="I577" s="20"/>
      <c r="J577" s="20"/>
      <c r="K577" s="20"/>
    </row>
    <row r="578" spans="1:11" ht="19.5" customHeight="1" x14ac:dyDescent="0.3">
      <c r="A578" s="22">
        <v>46045.61682841435</v>
      </c>
      <c r="B578" s="20">
        <v>57.2</v>
      </c>
      <c r="C578" s="20">
        <v>65</v>
      </c>
      <c r="D578" s="20">
        <v>65.260000000000005</v>
      </c>
      <c r="E578" s="20">
        <v>-0.26</v>
      </c>
      <c r="F578" s="20">
        <v>-0.02</v>
      </c>
      <c r="G578" s="20">
        <v>1672.81</v>
      </c>
      <c r="H578" s="20"/>
      <c r="I578" s="20"/>
      <c r="J578" s="20"/>
      <c r="K578" s="20"/>
    </row>
    <row r="579" spans="1:11" ht="19.5" customHeight="1" x14ac:dyDescent="0.3">
      <c r="A579" s="22">
        <v>46045.616829560182</v>
      </c>
      <c r="B579" s="25">
        <v>57.3</v>
      </c>
      <c r="C579" s="20">
        <v>65</v>
      </c>
      <c r="D579" s="20">
        <v>65.239999999999995</v>
      </c>
      <c r="E579" s="20">
        <v>-0.24</v>
      </c>
      <c r="F579" s="20">
        <v>0.02</v>
      </c>
      <c r="G579" s="20">
        <v>1683.11</v>
      </c>
      <c r="H579" s="20"/>
      <c r="I579" s="20"/>
      <c r="J579" s="20"/>
      <c r="K579" s="20"/>
    </row>
    <row r="580" spans="1:11" ht="19.5" customHeight="1" x14ac:dyDescent="0.3">
      <c r="A580" s="22">
        <v>46045.61683071759</v>
      </c>
      <c r="B580" s="20">
        <v>57.4</v>
      </c>
      <c r="C580" s="20">
        <v>65</v>
      </c>
      <c r="D580" s="20">
        <v>65.25</v>
      </c>
      <c r="E580" s="20">
        <v>-0.25</v>
      </c>
      <c r="F580" s="20">
        <v>-0.01</v>
      </c>
      <c r="G580" s="20">
        <v>1678.99</v>
      </c>
      <c r="H580" s="20"/>
      <c r="I580" s="20"/>
      <c r="J580" s="20"/>
      <c r="K580" s="20"/>
    </row>
    <row r="581" spans="1:11" ht="19.5" customHeight="1" x14ac:dyDescent="0.3">
      <c r="A581" s="22">
        <v>46045.616831886575</v>
      </c>
      <c r="B581" s="25">
        <v>57.5</v>
      </c>
      <c r="C581" s="20">
        <v>65</v>
      </c>
      <c r="D581" s="20">
        <v>65.25</v>
      </c>
      <c r="E581" s="20">
        <v>-0.25</v>
      </c>
      <c r="F581" s="20">
        <v>0</v>
      </c>
      <c r="G581" s="20">
        <v>1678.99</v>
      </c>
      <c r="H581" s="20"/>
      <c r="I581" s="20"/>
      <c r="J581" s="20"/>
      <c r="K581" s="20"/>
    </row>
    <row r="582" spans="1:11" ht="19.5" customHeight="1" x14ac:dyDescent="0.3">
      <c r="A582" s="22">
        <v>46045.616833043983</v>
      </c>
      <c r="B582" s="25">
        <v>57.6</v>
      </c>
      <c r="C582" s="20">
        <v>65</v>
      </c>
      <c r="D582" s="20">
        <v>65.239999999999995</v>
      </c>
      <c r="E582" s="20">
        <v>-0.24</v>
      </c>
      <c r="F582" s="20">
        <v>0</v>
      </c>
      <c r="G582" s="20">
        <v>1681.06</v>
      </c>
      <c r="H582" s="20"/>
      <c r="I582" s="20"/>
      <c r="J582" s="20"/>
      <c r="K582" s="20"/>
    </row>
    <row r="583" spans="1:11" ht="19.5" customHeight="1" x14ac:dyDescent="0.3">
      <c r="A583" s="22">
        <v>46045.61683421296</v>
      </c>
      <c r="B583" s="20">
        <v>57.7</v>
      </c>
      <c r="C583" s="20">
        <v>65</v>
      </c>
      <c r="D583" s="20">
        <v>65.25</v>
      </c>
      <c r="E583" s="20">
        <v>-0.25</v>
      </c>
      <c r="F583" s="20">
        <v>0</v>
      </c>
      <c r="G583" s="20">
        <v>1678.99</v>
      </c>
      <c r="H583" s="20"/>
      <c r="I583" s="20"/>
      <c r="J583" s="20"/>
      <c r="K583" s="20"/>
    </row>
    <row r="584" spans="1:11" ht="19.5" customHeight="1" x14ac:dyDescent="0.3">
      <c r="A584" s="22">
        <v>46045.616835347224</v>
      </c>
      <c r="B584" s="25">
        <v>57.8</v>
      </c>
      <c r="C584" s="20">
        <v>65</v>
      </c>
      <c r="D584" s="20">
        <v>65.239999999999995</v>
      </c>
      <c r="E584" s="20">
        <v>-0.24</v>
      </c>
      <c r="F584" s="20">
        <v>0.01</v>
      </c>
      <c r="G584" s="20">
        <v>1683.11</v>
      </c>
      <c r="H584" s="20"/>
      <c r="I584" s="20"/>
      <c r="J584" s="20"/>
      <c r="K584" s="20"/>
    </row>
    <row r="585" spans="1:11" ht="19.5" customHeight="1" x14ac:dyDescent="0.3">
      <c r="A585" s="22">
        <v>46045.616836504632</v>
      </c>
      <c r="B585" s="20">
        <v>57.9</v>
      </c>
      <c r="C585" s="20">
        <v>65</v>
      </c>
      <c r="D585" s="20">
        <v>65.22</v>
      </c>
      <c r="E585" s="20">
        <v>-0.22</v>
      </c>
      <c r="F585" s="20">
        <v>0.02</v>
      </c>
      <c r="G585" s="20">
        <v>1693.18</v>
      </c>
      <c r="H585" s="20"/>
      <c r="I585" s="20"/>
      <c r="J585" s="20"/>
      <c r="K585" s="20"/>
    </row>
    <row r="586" spans="1:11" ht="19.5" customHeight="1" x14ac:dyDescent="0.3">
      <c r="A586" s="22">
        <v>46045.61683770833</v>
      </c>
      <c r="B586" s="25">
        <v>58</v>
      </c>
      <c r="C586" s="20">
        <v>65</v>
      </c>
      <c r="D586" s="20">
        <v>65.239999999999995</v>
      </c>
      <c r="E586" s="20">
        <v>-0.24</v>
      </c>
      <c r="F586" s="20">
        <v>-0.02</v>
      </c>
      <c r="G586" s="20">
        <v>1683.11</v>
      </c>
      <c r="H586" s="20"/>
      <c r="I586" s="20"/>
      <c r="J586" s="20"/>
      <c r="K586" s="20"/>
    </row>
    <row r="587" spans="1:11" ht="19.5" customHeight="1" x14ac:dyDescent="0.3">
      <c r="A587" s="22">
        <v>46045.616838819442</v>
      </c>
      <c r="B587" s="25">
        <v>58.1</v>
      </c>
      <c r="C587" s="20">
        <v>65</v>
      </c>
      <c r="D587" s="20">
        <v>65.25</v>
      </c>
      <c r="E587" s="20">
        <v>-0.25</v>
      </c>
      <c r="F587" s="20">
        <v>-0.01</v>
      </c>
      <c r="G587" s="20">
        <v>1676.92</v>
      </c>
      <c r="H587" s="20"/>
      <c r="I587" s="20"/>
      <c r="J587" s="20"/>
      <c r="K587" s="20"/>
    </row>
    <row r="588" spans="1:11" ht="19.5" customHeight="1" x14ac:dyDescent="0.3">
      <c r="A588" s="22">
        <v>46045.61683997685</v>
      </c>
      <c r="B588" s="20">
        <v>58.2</v>
      </c>
      <c r="C588" s="20">
        <v>65</v>
      </c>
      <c r="D588" s="20">
        <v>65.25</v>
      </c>
      <c r="E588" s="20">
        <v>-0.25</v>
      </c>
      <c r="F588" s="20">
        <v>0</v>
      </c>
      <c r="G588" s="20">
        <v>1678.99</v>
      </c>
      <c r="H588" s="20"/>
      <c r="I588" s="20"/>
      <c r="J588" s="20"/>
      <c r="K588" s="20"/>
    </row>
    <row r="589" spans="1:11" ht="19.5" customHeight="1" x14ac:dyDescent="0.3">
      <c r="A589" s="22">
        <v>46045.616841145835</v>
      </c>
      <c r="B589" s="25">
        <v>58.3</v>
      </c>
      <c r="C589" s="20">
        <v>65</v>
      </c>
      <c r="D589" s="20">
        <v>65.209999999999994</v>
      </c>
      <c r="E589" s="20">
        <v>-0.21</v>
      </c>
      <c r="F589" s="20">
        <v>0.03</v>
      </c>
      <c r="G589" s="20">
        <v>1695.15</v>
      </c>
      <c r="H589" s="20"/>
      <c r="I589" s="20"/>
      <c r="J589" s="20"/>
      <c r="K589" s="20"/>
    </row>
    <row r="590" spans="1:11" ht="19.5" customHeight="1" x14ac:dyDescent="0.3">
      <c r="A590" s="22">
        <v>46045.616842291667</v>
      </c>
      <c r="B590" s="20">
        <v>58.4</v>
      </c>
      <c r="C590" s="20">
        <v>65</v>
      </c>
      <c r="D590" s="20">
        <v>65.290000000000006</v>
      </c>
      <c r="E590" s="20">
        <v>-0.28999999999999998</v>
      </c>
      <c r="F590" s="20">
        <v>-7.0000000000000007E-2</v>
      </c>
      <c r="G590" s="20">
        <v>1658.02</v>
      </c>
      <c r="H590" s="20"/>
      <c r="I590" s="20"/>
      <c r="J590" s="20"/>
      <c r="K590" s="20"/>
    </row>
    <row r="591" spans="1:11" ht="19.5" customHeight="1" x14ac:dyDescent="0.3">
      <c r="A591" s="22">
        <v>46045.616843449076</v>
      </c>
      <c r="B591" s="25">
        <v>58.5</v>
      </c>
      <c r="C591" s="20">
        <v>65</v>
      </c>
      <c r="D591" s="20">
        <v>65.209999999999994</v>
      </c>
      <c r="E591" s="20">
        <v>-0.21</v>
      </c>
      <c r="F591" s="20">
        <v>0.08</v>
      </c>
      <c r="G591" s="20">
        <v>1697.11</v>
      </c>
      <c r="H591" s="20"/>
      <c r="I591" s="20"/>
      <c r="J591" s="20"/>
      <c r="K591" s="20"/>
    </row>
    <row r="592" spans="1:11" ht="19.5" customHeight="1" x14ac:dyDescent="0.3">
      <c r="A592" s="22">
        <v>46045.616844606484</v>
      </c>
      <c r="B592" s="25">
        <v>58.6</v>
      </c>
      <c r="C592" s="20">
        <v>65</v>
      </c>
      <c r="D592" s="20">
        <v>65.27</v>
      </c>
      <c r="E592" s="20">
        <v>-0.27</v>
      </c>
      <c r="F592" s="20">
        <v>-0.06</v>
      </c>
      <c r="G592" s="20">
        <v>1664.47</v>
      </c>
      <c r="H592" s="20"/>
      <c r="I592" s="20"/>
      <c r="J592" s="20"/>
      <c r="K592" s="20"/>
    </row>
    <row r="593" spans="1:11" ht="19.5" customHeight="1" x14ac:dyDescent="0.3">
      <c r="A593" s="22">
        <v>46045.616845775461</v>
      </c>
      <c r="B593" s="20">
        <v>58.7</v>
      </c>
      <c r="C593" s="20">
        <v>65</v>
      </c>
      <c r="D593" s="20">
        <v>65.22</v>
      </c>
      <c r="E593" s="20">
        <v>-0.22</v>
      </c>
      <c r="F593" s="20">
        <v>0.05</v>
      </c>
      <c r="G593" s="20">
        <v>1691.18</v>
      </c>
      <c r="H593" s="20"/>
      <c r="I593" s="20"/>
      <c r="J593" s="20"/>
      <c r="K593" s="20"/>
    </row>
    <row r="594" spans="1:11" ht="19.5" customHeight="1" x14ac:dyDescent="0.3">
      <c r="A594" s="22">
        <v>46045.616846921293</v>
      </c>
      <c r="B594" s="25">
        <v>58.8</v>
      </c>
      <c r="C594" s="20">
        <v>65</v>
      </c>
      <c r="D594" s="20">
        <v>65.25</v>
      </c>
      <c r="E594" s="20">
        <v>-0.25</v>
      </c>
      <c r="F594" s="20">
        <v>-0.03</v>
      </c>
      <c r="G594" s="20">
        <v>1674.86</v>
      </c>
      <c r="H594" s="20"/>
      <c r="I594" s="20"/>
      <c r="J594" s="20"/>
      <c r="K594" s="20"/>
    </row>
    <row r="595" spans="1:11" ht="19.5" customHeight="1" x14ac:dyDescent="0.3">
      <c r="A595" s="22">
        <v>46045.616848101854</v>
      </c>
      <c r="B595" s="20">
        <v>58.9</v>
      </c>
      <c r="C595" s="20">
        <v>65</v>
      </c>
      <c r="D595" s="20">
        <v>65.3</v>
      </c>
      <c r="E595" s="20">
        <v>-0.3</v>
      </c>
      <c r="F595" s="20">
        <v>-0.04</v>
      </c>
      <c r="G595" s="20">
        <v>1651.41</v>
      </c>
      <c r="H595" s="20"/>
      <c r="I595" s="20"/>
      <c r="J595" s="20"/>
      <c r="K595" s="20"/>
    </row>
    <row r="596" spans="1:11" ht="19.5" customHeight="1" x14ac:dyDescent="0.3">
      <c r="A596" s="22">
        <v>46045.616849247686</v>
      </c>
      <c r="B596" s="25">
        <v>59</v>
      </c>
      <c r="C596" s="20">
        <v>65</v>
      </c>
      <c r="D596" s="20">
        <v>65.27</v>
      </c>
      <c r="E596" s="20">
        <v>-0.27</v>
      </c>
      <c r="F596" s="20">
        <v>0.03</v>
      </c>
      <c r="G596" s="20">
        <v>1666.57</v>
      </c>
      <c r="H596" s="20"/>
      <c r="I596" s="20"/>
      <c r="J596" s="20"/>
      <c r="K596" s="20"/>
    </row>
    <row r="597" spans="1:11" ht="19.5" customHeight="1" x14ac:dyDescent="0.3">
      <c r="A597" s="22">
        <v>46045.616850393519</v>
      </c>
      <c r="B597" s="25">
        <v>59.1</v>
      </c>
      <c r="C597" s="20">
        <v>65</v>
      </c>
      <c r="D597" s="20">
        <v>65.27</v>
      </c>
      <c r="E597" s="20">
        <v>-0.27</v>
      </c>
      <c r="F597" s="20">
        <v>0</v>
      </c>
      <c r="G597" s="20">
        <v>1668.68</v>
      </c>
      <c r="H597" s="20"/>
      <c r="I597" s="20"/>
      <c r="J597" s="20"/>
      <c r="K597" s="20"/>
    </row>
    <row r="598" spans="1:11" ht="19.5" customHeight="1" x14ac:dyDescent="0.3">
      <c r="A598" s="22">
        <v>46045.616851539351</v>
      </c>
      <c r="B598" s="20">
        <v>59.2</v>
      </c>
      <c r="C598" s="20">
        <v>65</v>
      </c>
      <c r="D598" s="20">
        <v>65.27</v>
      </c>
      <c r="E598" s="20">
        <v>-0.27</v>
      </c>
      <c r="F598" s="20">
        <v>0</v>
      </c>
      <c r="G598" s="20">
        <v>1668.68</v>
      </c>
      <c r="H598" s="20"/>
      <c r="I598" s="20"/>
      <c r="J598" s="20"/>
      <c r="K598" s="20"/>
    </row>
    <row r="599" spans="1:11" ht="19.5" customHeight="1" x14ac:dyDescent="0.3">
      <c r="A599" s="22">
        <v>46045.616852696759</v>
      </c>
      <c r="B599" s="25">
        <v>59.3</v>
      </c>
      <c r="C599" s="20">
        <v>65</v>
      </c>
      <c r="D599" s="20">
        <v>65.27</v>
      </c>
      <c r="E599" s="20">
        <v>-0.27</v>
      </c>
      <c r="F599" s="20">
        <v>0</v>
      </c>
      <c r="G599" s="20">
        <v>1666.57</v>
      </c>
      <c r="H599" s="20"/>
      <c r="I599" s="20"/>
      <c r="J599" s="20"/>
      <c r="K599" s="20"/>
    </row>
    <row r="600" spans="1:11" ht="19.5" customHeight="1" x14ac:dyDescent="0.3">
      <c r="A600" s="22">
        <v>46045.616853865744</v>
      </c>
      <c r="B600" s="20">
        <v>59.4</v>
      </c>
      <c r="C600" s="20">
        <v>65</v>
      </c>
      <c r="D600" s="20">
        <v>65.27</v>
      </c>
      <c r="E600" s="20">
        <v>-0.27</v>
      </c>
      <c r="F600" s="20">
        <v>0</v>
      </c>
      <c r="G600" s="20">
        <v>1666.57</v>
      </c>
      <c r="H600" s="20"/>
      <c r="I600" s="20"/>
      <c r="J600" s="20"/>
      <c r="K600" s="20"/>
    </row>
    <row r="601" spans="1:11" ht="19.5" customHeight="1" x14ac:dyDescent="0.3">
      <c r="A601" s="22">
        <v>46045.616855011576</v>
      </c>
      <c r="B601" s="25">
        <v>59.5</v>
      </c>
      <c r="C601" s="20">
        <v>65</v>
      </c>
      <c r="D601" s="20">
        <v>65.28</v>
      </c>
      <c r="E601" s="20">
        <v>-0.28000000000000003</v>
      </c>
      <c r="F601" s="20">
        <v>-0.01</v>
      </c>
      <c r="G601" s="20">
        <v>1662.33</v>
      </c>
      <c r="H601" s="20"/>
      <c r="I601" s="20"/>
      <c r="J601" s="20"/>
      <c r="K601" s="20"/>
    </row>
    <row r="602" spans="1:11" ht="19.5" customHeight="1" x14ac:dyDescent="0.3">
      <c r="A602" s="22">
        <v>46045.616856192129</v>
      </c>
      <c r="B602" s="20">
        <v>59.6</v>
      </c>
      <c r="C602" s="20">
        <v>65</v>
      </c>
      <c r="D602" s="20">
        <v>65.290000000000006</v>
      </c>
      <c r="E602" s="20">
        <v>-0.28999999999999998</v>
      </c>
      <c r="F602" s="20">
        <v>-0.01</v>
      </c>
      <c r="G602" s="20">
        <v>1658.02</v>
      </c>
      <c r="H602" s="20"/>
      <c r="I602" s="20"/>
      <c r="J602" s="20"/>
      <c r="K602" s="20"/>
    </row>
    <row r="603" spans="1:11" ht="19.5" customHeight="1" x14ac:dyDescent="0.3">
      <c r="A603" s="22">
        <v>46045.616857337962</v>
      </c>
      <c r="B603" s="25">
        <v>59.7</v>
      </c>
      <c r="C603" s="20">
        <v>65</v>
      </c>
      <c r="D603" s="20">
        <v>65.27</v>
      </c>
      <c r="E603" s="20">
        <v>-0.27</v>
      </c>
      <c r="F603" s="20">
        <v>0.02</v>
      </c>
      <c r="G603" s="20">
        <v>1668.68</v>
      </c>
      <c r="H603" s="20"/>
      <c r="I603" s="20"/>
      <c r="J603" s="20"/>
      <c r="K603" s="20"/>
    </row>
    <row r="604" spans="1:11" ht="19.5" customHeight="1" x14ac:dyDescent="0.3">
      <c r="A604" s="22">
        <v>46045.616858483794</v>
      </c>
      <c r="B604" s="25">
        <v>59.8</v>
      </c>
      <c r="C604" s="20">
        <v>65</v>
      </c>
      <c r="D604" s="20">
        <v>65.3</v>
      </c>
      <c r="E604" s="20">
        <v>-0.3</v>
      </c>
      <c r="F604" s="20">
        <v>-0.03</v>
      </c>
      <c r="G604" s="20">
        <v>1651.41</v>
      </c>
      <c r="H604" s="20"/>
      <c r="I604" s="20"/>
      <c r="J604" s="20"/>
      <c r="K604" s="20"/>
    </row>
    <row r="605" spans="1:11" ht="19.5" customHeight="1" x14ac:dyDescent="0.3">
      <c r="A605" s="22">
        <v>46045.616859664355</v>
      </c>
      <c r="B605" s="20">
        <v>59.9</v>
      </c>
      <c r="C605" s="20">
        <v>65</v>
      </c>
      <c r="D605" s="20">
        <v>65.25</v>
      </c>
      <c r="E605" s="20">
        <v>-0.25</v>
      </c>
      <c r="F605" s="20">
        <v>0.05</v>
      </c>
      <c r="G605" s="20">
        <v>1678.99</v>
      </c>
      <c r="H605" s="20"/>
      <c r="I605" s="20"/>
      <c r="J605" s="20"/>
      <c r="K605" s="20"/>
    </row>
    <row r="606" spans="1:11" ht="19.5" customHeight="1" x14ac:dyDescent="0.3">
      <c r="A606" s="22">
        <v>46045.616860798611</v>
      </c>
      <c r="B606" s="25">
        <v>60</v>
      </c>
      <c r="C606" s="20">
        <v>65</v>
      </c>
      <c r="D606" s="20">
        <v>65.290000000000006</v>
      </c>
      <c r="E606" s="20">
        <v>-0.28999999999999998</v>
      </c>
      <c r="F606" s="20">
        <v>-0.04</v>
      </c>
      <c r="G606" s="20">
        <v>1655.84</v>
      </c>
      <c r="H606" s="20"/>
      <c r="I606" s="20"/>
      <c r="J606" s="20"/>
      <c r="K606" s="20"/>
    </row>
    <row r="607" spans="1:11" ht="19.5" customHeight="1" x14ac:dyDescent="0.3">
      <c r="A607" s="22">
        <v>46045.616861956019</v>
      </c>
      <c r="B607" s="20">
        <v>60.1</v>
      </c>
      <c r="C607" s="20">
        <v>65</v>
      </c>
      <c r="D607" s="20">
        <v>65.290000000000006</v>
      </c>
      <c r="E607" s="20">
        <v>-0.28999999999999998</v>
      </c>
      <c r="F607" s="20">
        <v>0</v>
      </c>
      <c r="G607" s="20">
        <v>1658.02</v>
      </c>
      <c r="H607" s="20"/>
      <c r="I607" s="20"/>
      <c r="J607" s="20"/>
      <c r="K607" s="20"/>
    </row>
    <row r="608" spans="1:11" ht="19.5" customHeight="1" x14ac:dyDescent="0.3">
      <c r="A608" s="22">
        <v>46045.616863124997</v>
      </c>
      <c r="B608" s="25">
        <v>60.2</v>
      </c>
      <c r="C608" s="20">
        <v>65</v>
      </c>
      <c r="D608" s="20">
        <v>65.25</v>
      </c>
      <c r="E608" s="20">
        <v>-0.25</v>
      </c>
      <c r="F608" s="20">
        <v>0.04</v>
      </c>
      <c r="G608" s="20">
        <v>1676.92</v>
      </c>
      <c r="H608" s="20"/>
      <c r="I608" s="20"/>
      <c r="J608" s="20"/>
      <c r="K608" s="20"/>
    </row>
    <row r="609" spans="1:11" ht="19.5" customHeight="1" x14ac:dyDescent="0.3">
      <c r="A609" s="22">
        <v>46045.616864293981</v>
      </c>
      <c r="B609" s="25">
        <v>60.3</v>
      </c>
      <c r="C609" s="20">
        <v>65</v>
      </c>
      <c r="D609" s="20">
        <v>65.290000000000006</v>
      </c>
      <c r="E609" s="20">
        <v>-0.28999999999999998</v>
      </c>
      <c r="F609" s="20">
        <v>-0.04</v>
      </c>
      <c r="G609" s="20">
        <v>1653.64</v>
      </c>
      <c r="H609" s="20"/>
      <c r="I609" s="20"/>
      <c r="J609" s="20"/>
      <c r="K609" s="20"/>
    </row>
    <row r="610" spans="1:11" ht="19.5" customHeight="1" x14ac:dyDescent="0.3">
      <c r="A610" s="22">
        <v>46045.61686548611</v>
      </c>
      <c r="B610" s="20">
        <v>60.4</v>
      </c>
      <c r="C610" s="20">
        <v>65</v>
      </c>
      <c r="D610" s="20">
        <v>65.28</v>
      </c>
      <c r="E610" s="20">
        <v>-0.28000000000000003</v>
      </c>
      <c r="F610" s="20">
        <v>0.02</v>
      </c>
      <c r="G610" s="20">
        <v>1662.33</v>
      </c>
      <c r="H610" s="20"/>
      <c r="I610" s="20"/>
      <c r="J610" s="20"/>
      <c r="K610" s="20"/>
    </row>
    <row r="611" spans="1:11" ht="19.5" customHeight="1" x14ac:dyDescent="0.3">
      <c r="A611" s="22">
        <v>46045.616866585646</v>
      </c>
      <c r="B611" s="25">
        <v>60.5</v>
      </c>
      <c r="C611" s="20">
        <v>65</v>
      </c>
      <c r="D611" s="20">
        <v>65.290000000000006</v>
      </c>
      <c r="E611" s="20">
        <v>-0.28999999999999998</v>
      </c>
      <c r="F611" s="20">
        <v>-0.01</v>
      </c>
      <c r="G611" s="20">
        <v>1658.02</v>
      </c>
      <c r="H611" s="20"/>
      <c r="I611" s="20"/>
      <c r="J611" s="20"/>
      <c r="K611" s="20"/>
    </row>
    <row r="612" spans="1:11" ht="19.5" customHeight="1" x14ac:dyDescent="0.3">
      <c r="A612" s="22">
        <v>46045.61686775463</v>
      </c>
      <c r="B612" s="20">
        <v>60.6</v>
      </c>
      <c r="C612" s="20">
        <v>65</v>
      </c>
      <c r="D612" s="20">
        <v>65.25</v>
      </c>
      <c r="E612" s="20">
        <v>-0.25</v>
      </c>
      <c r="F612" s="20">
        <v>0.03</v>
      </c>
      <c r="G612" s="20">
        <v>1674.86</v>
      </c>
      <c r="H612" s="20"/>
      <c r="I612" s="20"/>
      <c r="J612" s="20"/>
      <c r="K612" s="20"/>
    </row>
    <row r="613" spans="1:11" ht="19.5" customHeight="1" x14ac:dyDescent="0.3">
      <c r="A613" s="22">
        <v>46045.616868912039</v>
      </c>
      <c r="B613" s="25">
        <v>60.7</v>
      </c>
      <c r="C613" s="20">
        <v>65</v>
      </c>
      <c r="D613" s="20">
        <v>65.31</v>
      </c>
      <c r="E613" s="20">
        <v>-0.31</v>
      </c>
      <c r="F613" s="20">
        <v>-0.05</v>
      </c>
      <c r="G613" s="20">
        <v>1647.01</v>
      </c>
      <c r="H613" s="20"/>
      <c r="I613" s="20"/>
      <c r="J613" s="20"/>
      <c r="K613" s="20"/>
    </row>
    <row r="614" spans="1:11" ht="19.5" customHeight="1" x14ac:dyDescent="0.3">
      <c r="A614" s="22">
        <v>46045.616870081016</v>
      </c>
      <c r="B614" s="25">
        <v>60.8</v>
      </c>
      <c r="C614" s="20">
        <v>65</v>
      </c>
      <c r="D614" s="20">
        <v>65.28</v>
      </c>
      <c r="E614" s="20">
        <v>-0.28000000000000003</v>
      </c>
      <c r="F614" s="20">
        <v>0.03</v>
      </c>
      <c r="G614" s="20">
        <v>1662.33</v>
      </c>
      <c r="H614" s="20"/>
      <c r="I614" s="20"/>
      <c r="J614" s="20"/>
      <c r="K614" s="20"/>
    </row>
    <row r="615" spans="1:11" ht="19.5" customHeight="1" x14ac:dyDescent="0.3">
      <c r="A615" s="22">
        <v>46045.616871238424</v>
      </c>
      <c r="B615" s="20">
        <v>60.9</v>
      </c>
      <c r="C615" s="20">
        <v>65</v>
      </c>
      <c r="D615" s="20">
        <v>65.27</v>
      </c>
      <c r="E615" s="20">
        <v>-0.27</v>
      </c>
      <c r="F615" s="20">
        <v>0.01</v>
      </c>
      <c r="G615" s="20">
        <v>1666.57</v>
      </c>
      <c r="H615" s="20"/>
      <c r="I615" s="20"/>
      <c r="J615" s="20"/>
      <c r="K615" s="20"/>
    </row>
    <row r="616" spans="1:11" ht="19.5" customHeight="1" x14ac:dyDescent="0.3">
      <c r="A616" s="22">
        <v>46045.616872384257</v>
      </c>
      <c r="B616" s="25">
        <v>61</v>
      </c>
      <c r="C616" s="20">
        <v>65</v>
      </c>
      <c r="D616" s="20">
        <v>65.27</v>
      </c>
      <c r="E616" s="20">
        <v>-0.27</v>
      </c>
      <c r="F616" s="20">
        <v>0</v>
      </c>
      <c r="G616" s="20">
        <v>1666.57</v>
      </c>
      <c r="H616" s="20"/>
      <c r="I616" s="20"/>
      <c r="J616" s="20"/>
      <c r="K616" s="20"/>
    </row>
    <row r="617" spans="1:11" ht="19.5" customHeight="1" x14ac:dyDescent="0.3">
      <c r="A617" s="22">
        <v>46045.616873530096</v>
      </c>
      <c r="B617" s="20">
        <v>61.1</v>
      </c>
      <c r="C617" s="20">
        <v>65</v>
      </c>
      <c r="D617" s="20">
        <v>65.260000000000005</v>
      </c>
      <c r="E617" s="20">
        <v>-0.26</v>
      </c>
      <c r="F617" s="20">
        <v>0.01</v>
      </c>
      <c r="G617" s="20">
        <v>1670.75</v>
      </c>
      <c r="H617" s="20"/>
      <c r="I617" s="20"/>
      <c r="J617" s="20"/>
      <c r="K617" s="20"/>
    </row>
    <row r="618" spans="1:11" ht="19.5" customHeight="1" x14ac:dyDescent="0.3">
      <c r="A618" s="22">
        <v>46045.616874699073</v>
      </c>
      <c r="B618" s="25">
        <v>61.2</v>
      </c>
      <c r="C618" s="20">
        <v>65</v>
      </c>
      <c r="D618" s="20">
        <v>65.239999999999995</v>
      </c>
      <c r="E618" s="20">
        <v>-0.24</v>
      </c>
      <c r="F618" s="20">
        <v>0.02</v>
      </c>
      <c r="G618" s="20">
        <v>1681.06</v>
      </c>
      <c r="H618" s="20"/>
      <c r="I618" s="20"/>
      <c r="J618" s="20"/>
      <c r="K618" s="20"/>
    </row>
    <row r="619" spans="1:11" ht="19.5" customHeight="1" x14ac:dyDescent="0.3">
      <c r="A619" s="22">
        <v>46045.616875868058</v>
      </c>
      <c r="B619" s="25">
        <v>61.3</v>
      </c>
      <c r="C619" s="20">
        <v>65</v>
      </c>
      <c r="D619" s="20">
        <v>65.28</v>
      </c>
      <c r="E619" s="20">
        <v>-0.28000000000000003</v>
      </c>
      <c r="F619" s="20">
        <v>-0.04</v>
      </c>
      <c r="G619" s="20">
        <v>1662.33</v>
      </c>
      <c r="H619" s="20"/>
      <c r="I619" s="20"/>
      <c r="J619" s="20"/>
      <c r="K619" s="20"/>
    </row>
    <row r="620" spans="1:11" ht="19.5" customHeight="1" x14ac:dyDescent="0.3">
      <c r="A620" s="22">
        <v>46045.616877025466</v>
      </c>
      <c r="B620" s="20">
        <v>61.4</v>
      </c>
      <c r="C620" s="20">
        <v>65</v>
      </c>
      <c r="D620" s="20">
        <v>65.23</v>
      </c>
      <c r="E620" s="20">
        <v>-0.23</v>
      </c>
      <c r="F620" s="20">
        <v>0.05</v>
      </c>
      <c r="G620" s="20">
        <v>1687.17</v>
      </c>
      <c r="H620" s="20"/>
      <c r="I620" s="20"/>
      <c r="J620" s="20"/>
      <c r="K620" s="20"/>
    </row>
    <row r="621" spans="1:11" ht="19.5" customHeight="1" x14ac:dyDescent="0.3">
      <c r="A621" s="22">
        <v>46045.616878194443</v>
      </c>
      <c r="B621" s="25">
        <v>61.5</v>
      </c>
      <c r="C621" s="20">
        <v>65</v>
      </c>
      <c r="D621" s="20">
        <v>65.25</v>
      </c>
      <c r="E621" s="20">
        <v>-0.25</v>
      </c>
      <c r="F621" s="20">
        <v>-0.02</v>
      </c>
      <c r="G621" s="20">
        <v>1674.86</v>
      </c>
      <c r="H621" s="20"/>
      <c r="I621" s="20"/>
      <c r="J621" s="20"/>
      <c r="K621" s="20"/>
    </row>
    <row r="622" spans="1:11" ht="19.5" customHeight="1" x14ac:dyDescent="0.3">
      <c r="A622" s="22">
        <v>46045.616879351852</v>
      </c>
      <c r="B622" s="20">
        <v>61.6</v>
      </c>
      <c r="C622" s="20">
        <v>65</v>
      </c>
      <c r="D622" s="20">
        <v>65.28</v>
      </c>
      <c r="E622" s="20">
        <v>-0.28000000000000003</v>
      </c>
      <c r="F622" s="20">
        <v>-0.02</v>
      </c>
      <c r="G622" s="20">
        <v>1662.33</v>
      </c>
      <c r="H622" s="20"/>
      <c r="I622" s="20"/>
      <c r="J622" s="20"/>
      <c r="K622" s="20"/>
    </row>
    <row r="623" spans="1:11" ht="19.5" customHeight="1" x14ac:dyDescent="0.3">
      <c r="A623" s="22">
        <v>46045.616880497684</v>
      </c>
      <c r="B623" s="25">
        <v>61.7</v>
      </c>
      <c r="C623" s="20">
        <v>65</v>
      </c>
      <c r="D623" s="20">
        <v>65.260000000000005</v>
      </c>
      <c r="E623" s="20">
        <v>-0.26</v>
      </c>
      <c r="F623" s="20">
        <v>0.02</v>
      </c>
      <c r="G623" s="20">
        <v>1670.75</v>
      </c>
      <c r="H623" s="20"/>
      <c r="I623" s="20"/>
      <c r="J623" s="20"/>
      <c r="K623" s="20"/>
    </row>
    <row r="624" spans="1:11" ht="19.5" customHeight="1" x14ac:dyDescent="0.3">
      <c r="A624" s="22">
        <v>46045.616881643517</v>
      </c>
      <c r="B624" s="25">
        <v>61.8</v>
      </c>
      <c r="C624" s="20">
        <v>65</v>
      </c>
      <c r="D624" s="20">
        <v>65.239999999999995</v>
      </c>
      <c r="E624" s="20">
        <v>-0.24</v>
      </c>
      <c r="F624" s="20">
        <v>0.02</v>
      </c>
      <c r="G624" s="20">
        <v>1681.06</v>
      </c>
      <c r="H624" s="20"/>
      <c r="I624" s="20"/>
      <c r="J624" s="20"/>
      <c r="K624" s="20"/>
    </row>
    <row r="625" spans="1:11" ht="19.5" customHeight="1" x14ac:dyDescent="0.3">
      <c r="A625" s="22">
        <v>46045.616882812501</v>
      </c>
      <c r="B625" s="20">
        <v>61.9</v>
      </c>
      <c r="C625" s="20">
        <v>65</v>
      </c>
      <c r="D625" s="20">
        <v>65.25</v>
      </c>
      <c r="E625" s="20">
        <v>-0.25</v>
      </c>
      <c r="F625" s="20">
        <v>-0.01</v>
      </c>
      <c r="G625" s="20">
        <v>1674.86</v>
      </c>
      <c r="H625" s="20"/>
      <c r="I625" s="20"/>
      <c r="J625" s="20"/>
      <c r="K625" s="20"/>
    </row>
    <row r="626" spans="1:11" ht="19.5" customHeight="1" x14ac:dyDescent="0.3">
      <c r="A626" s="22">
        <v>46045.616883969909</v>
      </c>
      <c r="B626" s="25">
        <v>62</v>
      </c>
      <c r="C626" s="20">
        <v>65</v>
      </c>
      <c r="D626" s="20">
        <v>65.28</v>
      </c>
      <c r="E626" s="20">
        <v>-0.28000000000000003</v>
      </c>
      <c r="F626" s="20">
        <v>-0.03</v>
      </c>
      <c r="G626" s="20">
        <v>1660.19</v>
      </c>
      <c r="H626" s="20"/>
      <c r="I626" s="20"/>
      <c r="J626" s="20"/>
      <c r="K626" s="20"/>
    </row>
    <row r="627" spans="1:11" ht="19.5" customHeight="1" x14ac:dyDescent="0.3">
      <c r="A627" s="22">
        <v>46045.616885138887</v>
      </c>
      <c r="B627" s="20">
        <v>62.1</v>
      </c>
      <c r="C627" s="20">
        <v>65</v>
      </c>
      <c r="D627" s="20">
        <v>65.25</v>
      </c>
      <c r="E627" s="20">
        <v>-0.25</v>
      </c>
      <c r="F627" s="20">
        <v>0.04</v>
      </c>
      <c r="G627" s="20">
        <v>1678.99</v>
      </c>
      <c r="H627" s="20"/>
      <c r="I627" s="20"/>
      <c r="J627" s="20"/>
      <c r="K627" s="20"/>
    </row>
    <row r="628" spans="1:11" ht="19.5" customHeight="1" x14ac:dyDescent="0.3">
      <c r="A628" s="22">
        <v>46045.616886296295</v>
      </c>
      <c r="B628" s="25">
        <v>62.2</v>
      </c>
      <c r="C628" s="20">
        <v>65</v>
      </c>
      <c r="D628" s="20">
        <v>65.290000000000006</v>
      </c>
      <c r="E628" s="20">
        <v>-0.28999999999999998</v>
      </c>
      <c r="F628" s="20">
        <v>-0.05</v>
      </c>
      <c r="G628" s="20">
        <v>1653.64</v>
      </c>
      <c r="H628" s="20"/>
      <c r="I628" s="20"/>
      <c r="J628" s="20"/>
      <c r="K628" s="20"/>
    </row>
    <row r="629" spans="1:11" ht="19.5" customHeight="1" x14ac:dyDescent="0.3">
      <c r="A629" s="22">
        <v>46045.616887442127</v>
      </c>
      <c r="B629" s="25">
        <v>62.3</v>
      </c>
      <c r="C629" s="20">
        <v>65</v>
      </c>
      <c r="D629" s="20">
        <v>65.27</v>
      </c>
      <c r="E629" s="20">
        <v>-0.27</v>
      </c>
      <c r="F629" s="20">
        <v>0.03</v>
      </c>
      <c r="G629" s="20">
        <v>1668.68</v>
      </c>
      <c r="H629" s="20"/>
      <c r="I629" s="20"/>
      <c r="J629" s="20"/>
      <c r="K629" s="20"/>
    </row>
    <row r="630" spans="1:11" ht="19.5" customHeight="1" x14ac:dyDescent="0.3">
      <c r="A630" s="22">
        <v>46045.616888611112</v>
      </c>
      <c r="B630" s="20">
        <v>62.4</v>
      </c>
      <c r="C630" s="20">
        <v>65</v>
      </c>
      <c r="D630" s="20">
        <v>65.27</v>
      </c>
      <c r="E630" s="20">
        <v>-0.27</v>
      </c>
      <c r="F630" s="20">
        <v>-0.01</v>
      </c>
      <c r="G630" s="20">
        <v>1664.47</v>
      </c>
      <c r="H630" s="20"/>
      <c r="I630" s="20"/>
      <c r="J630" s="20"/>
      <c r="K630" s="20"/>
    </row>
    <row r="631" spans="1:11" ht="19.5" customHeight="1" x14ac:dyDescent="0.3">
      <c r="A631" s="22">
        <v>46045.616889756944</v>
      </c>
      <c r="B631" s="25">
        <v>62.5</v>
      </c>
      <c r="C631" s="20">
        <v>65</v>
      </c>
      <c r="D631" s="20">
        <v>65.25</v>
      </c>
      <c r="E631" s="20">
        <v>-0.25</v>
      </c>
      <c r="F631" s="20">
        <v>0.02</v>
      </c>
      <c r="G631" s="20">
        <v>1674.86</v>
      </c>
      <c r="H631" s="20"/>
      <c r="I631" s="20"/>
      <c r="J631" s="20"/>
      <c r="K631" s="20"/>
    </row>
    <row r="632" spans="1:11" ht="19.5" customHeight="1" x14ac:dyDescent="0.3">
      <c r="A632" s="22">
        <v>46045.616890914353</v>
      </c>
      <c r="B632" s="20">
        <v>62.6</v>
      </c>
      <c r="C632" s="20">
        <v>65</v>
      </c>
      <c r="D632" s="20">
        <v>65.27</v>
      </c>
      <c r="E632" s="20">
        <v>-0.27</v>
      </c>
      <c r="F632" s="20">
        <v>-0.02</v>
      </c>
      <c r="G632" s="20">
        <v>1664.47</v>
      </c>
      <c r="H632" s="20"/>
      <c r="I632" s="20"/>
      <c r="J632" s="20"/>
      <c r="K632" s="20"/>
    </row>
    <row r="633" spans="1:11" ht="19.5" customHeight="1" x14ac:dyDescent="0.3">
      <c r="A633" s="22">
        <v>46045.616892094906</v>
      </c>
      <c r="B633" s="25">
        <v>62.7</v>
      </c>
      <c r="C633" s="20">
        <v>65</v>
      </c>
      <c r="D633" s="20">
        <v>65.23</v>
      </c>
      <c r="E633" s="20">
        <v>-0.23</v>
      </c>
      <c r="F633" s="20">
        <v>0.04</v>
      </c>
      <c r="G633" s="20">
        <v>1687.17</v>
      </c>
      <c r="H633" s="20"/>
      <c r="I633" s="20"/>
      <c r="J633" s="20"/>
      <c r="K633" s="20"/>
    </row>
    <row r="634" spans="1:11" ht="19.5" customHeight="1" x14ac:dyDescent="0.3">
      <c r="A634" s="22">
        <v>46045.616893229169</v>
      </c>
      <c r="B634" s="25">
        <v>62.8</v>
      </c>
      <c r="C634" s="20">
        <v>65</v>
      </c>
      <c r="D634" s="20">
        <v>65.23</v>
      </c>
      <c r="E634" s="20">
        <v>-0.23</v>
      </c>
      <c r="F634" s="20">
        <v>0</v>
      </c>
      <c r="G634" s="20">
        <v>1689.19</v>
      </c>
      <c r="H634" s="20"/>
      <c r="I634" s="20"/>
      <c r="J634" s="20"/>
      <c r="K634" s="20"/>
    </row>
    <row r="635" spans="1:11" ht="19.5" customHeight="1" x14ac:dyDescent="0.3">
      <c r="A635" s="22">
        <v>46045.61689438657</v>
      </c>
      <c r="B635" s="20">
        <v>62.9</v>
      </c>
      <c r="C635" s="20">
        <v>65</v>
      </c>
      <c r="D635" s="20">
        <v>65.27</v>
      </c>
      <c r="E635" s="20">
        <v>-0.27</v>
      </c>
      <c r="F635" s="20">
        <v>-0.04</v>
      </c>
      <c r="G635" s="20">
        <v>1668.68</v>
      </c>
      <c r="H635" s="20"/>
      <c r="I635" s="20"/>
      <c r="J635" s="20"/>
      <c r="K635" s="20"/>
    </row>
    <row r="636" spans="1:11" ht="19.5" customHeight="1" x14ac:dyDescent="0.3">
      <c r="A636" s="22">
        <v>46045.616895543979</v>
      </c>
      <c r="B636" s="25">
        <v>63</v>
      </c>
      <c r="C636" s="20">
        <v>65</v>
      </c>
      <c r="D636" s="20">
        <v>65.25</v>
      </c>
      <c r="E636" s="20">
        <v>-0.25</v>
      </c>
      <c r="F636" s="20">
        <v>0.02</v>
      </c>
      <c r="G636" s="20">
        <v>1676.92</v>
      </c>
      <c r="H636" s="20"/>
      <c r="I636" s="20"/>
      <c r="J636" s="20"/>
      <c r="K636" s="20"/>
    </row>
    <row r="637" spans="1:11" ht="19.5" customHeight="1" x14ac:dyDescent="0.3">
      <c r="A637" s="22">
        <v>46045.616896701387</v>
      </c>
      <c r="B637" s="20">
        <v>63.1</v>
      </c>
      <c r="C637" s="20">
        <v>65</v>
      </c>
      <c r="D637" s="20">
        <v>65.260000000000005</v>
      </c>
      <c r="E637" s="20">
        <v>-0.26</v>
      </c>
      <c r="F637" s="20">
        <v>-0.01</v>
      </c>
      <c r="G637" s="20">
        <v>1672.81</v>
      </c>
      <c r="H637" s="20"/>
      <c r="I637" s="20"/>
      <c r="J637" s="20"/>
      <c r="K637" s="20"/>
    </row>
    <row r="638" spans="1:11" ht="19.5" customHeight="1" x14ac:dyDescent="0.3">
      <c r="A638" s="22">
        <v>46045.616897905093</v>
      </c>
      <c r="B638" s="25">
        <v>63.2</v>
      </c>
      <c r="C638" s="20">
        <v>65</v>
      </c>
      <c r="D638" s="20">
        <v>65.25</v>
      </c>
      <c r="E638" s="20">
        <v>-0.25</v>
      </c>
      <c r="F638" s="20">
        <v>0.01</v>
      </c>
      <c r="G638" s="20">
        <v>1678.99</v>
      </c>
      <c r="H638" s="20"/>
      <c r="I638" s="20"/>
      <c r="J638" s="20"/>
      <c r="K638" s="20"/>
    </row>
    <row r="639" spans="1:11" ht="19.5" customHeight="1" x14ac:dyDescent="0.3">
      <c r="A639" s="22">
        <v>46045.616899016204</v>
      </c>
      <c r="B639" s="20">
        <v>63.3</v>
      </c>
      <c r="C639" s="20">
        <v>65</v>
      </c>
      <c r="D639" s="20">
        <v>65.3</v>
      </c>
      <c r="E639" s="20">
        <v>-0.3</v>
      </c>
      <c r="F639" s="20">
        <v>-0.05</v>
      </c>
      <c r="G639" s="20">
        <v>1651.41</v>
      </c>
      <c r="H639" s="20"/>
      <c r="I639" s="20"/>
      <c r="J639" s="20"/>
      <c r="K639" s="20"/>
    </row>
    <row r="640" spans="1:11" ht="19.5" customHeight="1" x14ac:dyDescent="0.3">
      <c r="A640" s="22">
        <v>46045.616900185189</v>
      </c>
      <c r="B640" s="25">
        <v>63.4</v>
      </c>
      <c r="C640" s="20">
        <v>65</v>
      </c>
      <c r="D640" s="20">
        <v>65.290000000000006</v>
      </c>
      <c r="E640" s="20">
        <v>-0.28999999999999998</v>
      </c>
      <c r="F640" s="20">
        <v>0.01</v>
      </c>
      <c r="G640" s="20">
        <v>1655.84</v>
      </c>
      <c r="H640" s="20"/>
      <c r="I640" s="20"/>
      <c r="J640" s="20"/>
      <c r="K640" s="20"/>
    </row>
    <row r="641" spans="1:11" ht="19.5" customHeight="1" x14ac:dyDescent="0.3">
      <c r="A641" s="22">
        <v>46045.616901331021</v>
      </c>
      <c r="B641" s="25">
        <v>63.5</v>
      </c>
      <c r="C641" s="20">
        <v>65</v>
      </c>
      <c r="D641" s="20">
        <v>65.27</v>
      </c>
      <c r="E641" s="20">
        <v>-0.27</v>
      </c>
      <c r="F641" s="20">
        <v>0.02</v>
      </c>
      <c r="G641" s="20">
        <v>1666.57</v>
      </c>
      <c r="H641" s="20"/>
      <c r="I641" s="20"/>
      <c r="J641" s="20"/>
      <c r="K641" s="20"/>
    </row>
    <row r="642" spans="1:11" ht="19.5" customHeight="1" x14ac:dyDescent="0.3">
      <c r="A642" s="22">
        <v>46045.616902488429</v>
      </c>
      <c r="B642" s="20">
        <v>63.6</v>
      </c>
      <c r="C642" s="20">
        <v>65</v>
      </c>
      <c r="D642" s="20">
        <v>65.239999999999995</v>
      </c>
      <c r="E642" s="20">
        <v>-0.24</v>
      </c>
      <c r="F642" s="20">
        <v>0.03</v>
      </c>
      <c r="G642" s="20">
        <v>1681.06</v>
      </c>
      <c r="H642" s="20"/>
      <c r="I642" s="20"/>
      <c r="J642" s="20"/>
      <c r="K642" s="20"/>
    </row>
    <row r="643" spans="1:11" ht="19.5" customHeight="1" x14ac:dyDescent="0.3">
      <c r="A643" s="22">
        <v>46045.61690364583</v>
      </c>
      <c r="B643" s="25">
        <v>63.7</v>
      </c>
      <c r="C643" s="20">
        <v>65</v>
      </c>
      <c r="D643" s="20">
        <v>65.260000000000005</v>
      </c>
      <c r="E643" s="20">
        <v>-0.26</v>
      </c>
      <c r="F643" s="20">
        <v>-0.02</v>
      </c>
      <c r="G643" s="20">
        <v>1670.75</v>
      </c>
      <c r="H643" s="20"/>
      <c r="I643" s="20"/>
      <c r="J643" s="20"/>
      <c r="K643" s="20"/>
    </row>
    <row r="644" spans="1:11" ht="19.5" customHeight="1" x14ac:dyDescent="0.3">
      <c r="A644" s="22">
        <v>46045.616904803239</v>
      </c>
      <c r="B644" s="20">
        <v>63.8</v>
      </c>
      <c r="C644" s="20">
        <v>65</v>
      </c>
      <c r="D644" s="20">
        <v>65.239999999999995</v>
      </c>
      <c r="E644" s="20">
        <v>-0.24</v>
      </c>
      <c r="F644" s="20">
        <v>0.02</v>
      </c>
      <c r="G644" s="20">
        <v>1681.06</v>
      </c>
      <c r="H644" s="20"/>
      <c r="I644" s="20"/>
      <c r="J644" s="20"/>
      <c r="K644" s="20"/>
    </row>
    <row r="645" spans="1:11" ht="19.5" customHeight="1" x14ac:dyDescent="0.3">
      <c r="A645" s="22">
        <v>46045.616905983799</v>
      </c>
      <c r="B645" s="25">
        <v>63.9</v>
      </c>
      <c r="C645" s="20">
        <v>65</v>
      </c>
      <c r="D645" s="20">
        <v>65.23</v>
      </c>
      <c r="E645" s="20">
        <v>-0.23</v>
      </c>
      <c r="F645" s="20">
        <v>0.02</v>
      </c>
      <c r="G645" s="20">
        <v>1689.19</v>
      </c>
      <c r="H645" s="20"/>
      <c r="I645" s="20"/>
      <c r="J645" s="20"/>
      <c r="K645" s="20"/>
    </row>
    <row r="646" spans="1:11" ht="19.5" customHeight="1" x14ac:dyDescent="0.3">
      <c r="A646" s="22">
        <v>46045.616907118056</v>
      </c>
      <c r="B646" s="25">
        <v>64</v>
      </c>
      <c r="C646" s="20">
        <v>65</v>
      </c>
      <c r="D646" s="20">
        <v>65.25</v>
      </c>
      <c r="E646" s="20">
        <v>-0.25</v>
      </c>
      <c r="F646" s="20">
        <v>-0.02</v>
      </c>
      <c r="G646" s="20">
        <v>1676.92</v>
      </c>
      <c r="H646" s="20"/>
      <c r="I646" s="20"/>
      <c r="J646" s="20"/>
      <c r="K646" s="20"/>
    </row>
    <row r="647" spans="1:11" ht="19.5" customHeight="1" x14ac:dyDescent="0.3">
      <c r="A647" s="22">
        <v>46045.61690828704</v>
      </c>
      <c r="B647" s="20">
        <v>64.099999999999994</v>
      </c>
      <c r="C647" s="20">
        <v>65</v>
      </c>
      <c r="D647" s="20">
        <v>65.260000000000005</v>
      </c>
      <c r="E647" s="20">
        <v>-0.26</v>
      </c>
      <c r="F647" s="20">
        <v>-0.01</v>
      </c>
      <c r="G647" s="20">
        <v>1670.75</v>
      </c>
      <c r="H647" s="20"/>
      <c r="I647" s="20"/>
      <c r="J647" s="20"/>
      <c r="K647" s="20"/>
    </row>
    <row r="648" spans="1:11" ht="19.5" customHeight="1" x14ac:dyDescent="0.3">
      <c r="A648" s="22">
        <v>46045.616909444441</v>
      </c>
      <c r="B648" s="25">
        <v>64.2</v>
      </c>
      <c r="C648" s="20">
        <v>65</v>
      </c>
      <c r="D648" s="20">
        <v>65.260000000000005</v>
      </c>
      <c r="E648" s="20">
        <v>-0.26</v>
      </c>
      <c r="F648" s="20">
        <v>0</v>
      </c>
      <c r="G648" s="20">
        <v>1672.81</v>
      </c>
      <c r="H648" s="20"/>
      <c r="I648" s="20"/>
      <c r="J648" s="20"/>
      <c r="K648" s="20"/>
    </row>
    <row r="649" spans="1:11" ht="19.5" customHeight="1" x14ac:dyDescent="0.3">
      <c r="A649" s="22">
        <v>46045.61691060185</v>
      </c>
      <c r="B649" s="20">
        <v>64.3</v>
      </c>
      <c r="C649" s="20">
        <v>65</v>
      </c>
      <c r="D649" s="20">
        <v>65.2</v>
      </c>
      <c r="E649" s="20">
        <v>-0.2</v>
      </c>
      <c r="F649" s="20">
        <v>0.06</v>
      </c>
      <c r="G649" s="20">
        <v>1701.04</v>
      </c>
      <c r="H649" s="20"/>
      <c r="I649" s="20"/>
      <c r="J649" s="20"/>
      <c r="K649" s="20"/>
    </row>
    <row r="650" spans="1:11" ht="19.5" customHeight="1" x14ac:dyDescent="0.3">
      <c r="A650" s="22">
        <v>46045.616911747682</v>
      </c>
      <c r="B650" s="25">
        <v>64.400000000000006</v>
      </c>
      <c r="C650" s="20">
        <v>65</v>
      </c>
      <c r="D650" s="20">
        <v>65.27</v>
      </c>
      <c r="E650" s="20">
        <v>-0.27</v>
      </c>
      <c r="F650" s="20">
        <v>-7.0000000000000007E-2</v>
      </c>
      <c r="G650" s="20">
        <v>1666.57</v>
      </c>
      <c r="H650" s="20"/>
      <c r="I650" s="20"/>
      <c r="J650" s="20"/>
      <c r="K650" s="20"/>
    </row>
    <row r="651" spans="1:11" ht="19.5" customHeight="1" x14ac:dyDescent="0.3">
      <c r="A651" s="22">
        <v>46045.61691290509</v>
      </c>
      <c r="B651" s="20">
        <v>64.5</v>
      </c>
      <c r="C651" s="20">
        <v>65</v>
      </c>
      <c r="D651" s="20">
        <v>65.2</v>
      </c>
      <c r="E651" s="20">
        <v>-0.2</v>
      </c>
      <c r="F651" s="20">
        <v>7.0000000000000007E-2</v>
      </c>
      <c r="G651" s="20">
        <v>1703.02</v>
      </c>
      <c r="H651" s="20"/>
      <c r="I651" s="20"/>
      <c r="J651" s="20"/>
      <c r="K651" s="20"/>
    </row>
    <row r="652" spans="1:11" ht="19.5" customHeight="1" x14ac:dyDescent="0.3">
      <c r="A652" s="22">
        <v>46045.616914062499</v>
      </c>
      <c r="B652" s="25">
        <v>64.599999999999994</v>
      </c>
      <c r="C652" s="20">
        <v>65</v>
      </c>
      <c r="D652" s="20">
        <v>65.23</v>
      </c>
      <c r="E652" s="20">
        <v>-0.23</v>
      </c>
      <c r="F652" s="20">
        <v>-0.03</v>
      </c>
      <c r="G652" s="20">
        <v>1687.17</v>
      </c>
      <c r="H652" s="20"/>
      <c r="I652" s="20"/>
      <c r="J652" s="20"/>
      <c r="K652" s="20"/>
    </row>
    <row r="653" spans="1:11" ht="19.5" customHeight="1" x14ac:dyDescent="0.3">
      <c r="A653" s="22">
        <v>46045.616915231483</v>
      </c>
      <c r="B653" s="25">
        <v>64.7</v>
      </c>
      <c r="C653" s="20">
        <v>65</v>
      </c>
      <c r="D653" s="20">
        <v>65.209999999999994</v>
      </c>
      <c r="E653" s="20">
        <v>-0.21</v>
      </c>
      <c r="F653" s="20">
        <v>0.02</v>
      </c>
      <c r="G653" s="20">
        <v>1695.15</v>
      </c>
      <c r="H653" s="20"/>
      <c r="I653" s="20"/>
      <c r="J653" s="20"/>
      <c r="K653" s="20"/>
    </row>
    <row r="654" spans="1:11" ht="19.5" customHeight="1" x14ac:dyDescent="0.3">
      <c r="A654" s="22">
        <v>46045.616916377316</v>
      </c>
      <c r="B654" s="20">
        <v>64.8</v>
      </c>
      <c r="C654" s="20">
        <v>65</v>
      </c>
      <c r="D654" s="20">
        <v>65.25</v>
      </c>
      <c r="E654" s="20">
        <v>-0.25</v>
      </c>
      <c r="F654" s="20">
        <v>-0.04</v>
      </c>
      <c r="G654" s="20">
        <v>1676.92</v>
      </c>
      <c r="H654" s="20"/>
      <c r="I654" s="20"/>
      <c r="J654" s="20"/>
      <c r="K654" s="20"/>
    </row>
    <row r="655" spans="1:11" ht="19.5" customHeight="1" x14ac:dyDescent="0.3">
      <c r="A655" s="22">
        <v>46045.616917534724</v>
      </c>
      <c r="B655" s="25">
        <v>64.900000000000006</v>
      </c>
      <c r="C655" s="20">
        <v>65</v>
      </c>
      <c r="D655" s="20">
        <v>65.239999999999995</v>
      </c>
      <c r="E655" s="20">
        <v>-0.24</v>
      </c>
      <c r="F655" s="20">
        <v>0.01</v>
      </c>
      <c r="G655" s="20">
        <v>1683.11</v>
      </c>
      <c r="H655" s="20"/>
      <c r="I655" s="20"/>
      <c r="J655" s="20"/>
      <c r="K655" s="20"/>
    </row>
    <row r="656" spans="1:11" ht="19.5" customHeight="1" x14ac:dyDescent="0.3">
      <c r="A656" s="22">
        <v>46045.616918703701</v>
      </c>
      <c r="B656" s="25">
        <v>65</v>
      </c>
      <c r="C656" s="20">
        <v>65</v>
      </c>
      <c r="D656" s="20">
        <v>65.25</v>
      </c>
      <c r="E656" s="20">
        <v>-0.25</v>
      </c>
      <c r="F656" s="20">
        <v>-0.02</v>
      </c>
      <c r="G656" s="20">
        <v>1674.86</v>
      </c>
      <c r="H656" s="20"/>
      <c r="I656" s="20"/>
      <c r="J656" s="20"/>
      <c r="K656" s="20"/>
    </row>
    <row r="657" spans="1:11" ht="19.5" customHeight="1" x14ac:dyDescent="0.3">
      <c r="A657" s="22">
        <v>46045.616919849534</v>
      </c>
      <c r="B657" s="20">
        <v>65.099999999999994</v>
      </c>
      <c r="C657" s="20">
        <v>65</v>
      </c>
      <c r="D657" s="20">
        <v>65.209999999999994</v>
      </c>
      <c r="E657" s="20">
        <v>-0.21</v>
      </c>
      <c r="F657" s="20">
        <v>0.05</v>
      </c>
      <c r="G657" s="20">
        <v>1699.07</v>
      </c>
      <c r="H657" s="20"/>
      <c r="I657" s="20"/>
      <c r="J657" s="20"/>
      <c r="K657" s="20"/>
    </row>
    <row r="658" spans="1:11" ht="19.5" customHeight="1" x14ac:dyDescent="0.3">
      <c r="A658" s="22">
        <v>46045.616921006942</v>
      </c>
      <c r="B658" s="25">
        <v>65.2</v>
      </c>
      <c r="C658" s="20">
        <v>65</v>
      </c>
      <c r="D658" s="20">
        <v>65.260000000000005</v>
      </c>
      <c r="E658" s="20">
        <v>-0.26</v>
      </c>
      <c r="F658" s="20">
        <v>-0.05</v>
      </c>
      <c r="G658" s="20">
        <v>1672.81</v>
      </c>
      <c r="H658" s="20"/>
      <c r="I658" s="20"/>
      <c r="J658" s="20"/>
      <c r="K658" s="20"/>
    </row>
    <row r="659" spans="1:11" ht="19.5" customHeight="1" x14ac:dyDescent="0.3">
      <c r="A659" s="22">
        <v>46045.616922175926</v>
      </c>
      <c r="B659" s="20">
        <v>65.3</v>
      </c>
      <c r="C659" s="20">
        <v>65</v>
      </c>
      <c r="D659" s="20">
        <v>65.25</v>
      </c>
      <c r="E659" s="20">
        <v>-0.25</v>
      </c>
      <c r="F659" s="20">
        <v>0</v>
      </c>
      <c r="G659" s="20">
        <v>1674.86</v>
      </c>
      <c r="H659" s="20"/>
      <c r="I659" s="20"/>
      <c r="J659" s="20"/>
      <c r="K659" s="20"/>
    </row>
    <row r="660" spans="1:11" ht="19.5" customHeight="1" x14ac:dyDescent="0.3">
      <c r="A660" s="22">
        <v>46045.616923321759</v>
      </c>
      <c r="B660" s="25">
        <v>65.400000000000006</v>
      </c>
      <c r="C660" s="20">
        <v>65</v>
      </c>
      <c r="D660" s="20">
        <v>65.25</v>
      </c>
      <c r="E660" s="20">
        <v>-0.25</v>
      </c>
      <c r="F660" s="20">
        <v>0</v>
      </c>
      <c r="G660" s="20">
        <v>1676.92</v>
      </c>
      <c r="H660" s="20"/>
      <c r="I660" s="20"/>
      <c r="J660" s="20"/>
      <c r="K660" s="20"/>
    </row>
    <row r="661" spans="1:11" ht="19.5" customHeight="1" x14ac:dyDescent="0.3">
      <c r="A661" s="22">
        <v>46045.616924490743</v>
      </c>
      <c r="B661" s="25">
        <v>65.5</v>
      </c>
      <c r="C661" s="20">
        <v>65</v>
      </c>
      <c r="D661" s="20">
        <v>65.27</v>
      </c>
      <c r="E661" s="20">
        <v>-0.27</v>
      </c>
      <c r="F661" s="20">
        <v>-0.02</v>
      </c>
      <c r="G661" s="20">
        <v>1666.57</v>
      </c>
      <c r="H661" s="20"/>
      <c r="I661" s="20"/>
      <c r="J661" s="20"/>
      <c r="K661" s="20"/>
    </row>
    <row r="662" spans="1:11" ht="19.5" customHeight="1" x14ac:dyDescent="0.3">
      <c r="A662" s="22">
        <v>46045.616925648152</v>
      </c>
      <c r="B662" s="20">
        <v>65.599999999999994</v>
      </c>
      <c r="C662" s="20">
        <v>65</v>
      </c>
      <c r="D662" s="20">
        <v>65.22</v>
      </c>
      <c r="E662" s="20">
        <v>-0.22</v>
      </c>
      <c r="F662" s="20">
        <v>0.05</v>
      </c>
      <c r="G662" s="20">
        <v>1691.18</v>
      </c>
      <c r="H662" s="20"/>
      <c r="I662" s="20"/>
      <c r="J662" s="20"/>
      <c r="K662" s="20"/>
    </row>
    <row r="663" spans="1:11" ht="19.5" customHeight="1" x14ac:dyDescent="0.3">
      <c r="A663" s="22">
        <v>46045.616926793984</v>
      </c>
      <c r="B663" s="25">
        <v>65.7</v>
      </c>
      <c r="C663" s="20">
        <v>65</v>
      </c>
      <c r="D663" s="20">
        <v>65.260000000000005</v>
      </c>
      <c r="E663" s="20">
        <v>-0.26</v>
      </c>
      <c r="F663" s="20">
        <v>-0.04</v>
      </c>
      <c r="G663" s="20">
        <v>1670.75</v>
      </c>
      <c r="H663" s="20"/>
      <c r="I663" s="20"/>
      <c r="J663" s="20"/>
      <c r="K663" s="20"/>
    </row>
    <row r="664" spans="1:11" ht="19.5" customHeight="1" x14ac:dyDescent="0.3">
      <c r="A664" s="22">
        <v>46045.616927951392</v>
      </c>
      <c r="B664" s="20">
        <v>65.8</v>
      </c>
      <c r="C664" s="20">
        <v>65</v>
      </c>
      <c r="D664" s="20">
        <v>65.260000000000005</v>
      </c>
      <c r="E664" s="20">
        <v>-0.26</v>
      </c>
      <c r="F664" s="20">
        <v>0</v>
      </c>
      <c r="G664" s="20">
        <v>1672.81</v>
      </c>
      <c r="H664" s="20"/>
      <c r="I664" s="20"/>
      <c r="J664" s="20"/>
      <c r="K664" s="20"/>
    </row>
    <row r="665" spans="1:11" ht="19.5" customHeight="1" x14ac:dyDescent="0.3">
      <c r="A665" s="22">
        <v>46045.616929108794</v>
      </c>
      <c r="B665" s="25">
        <v>65.900000000000006</v>
      </c>
      <c r="C665" s="20">
        <v>65</v>
      </c>
      <c r="D665" s="20">
        <v>65.27</v>
      </c>
      <c r="E665" s="20">
        <v>-0.27</v>
      </c>
      <c r="F665" s="20">
        <v>-0.02</v>
      </c>
      <c r="G665" s="20">
        <v>1664.47</v>
      </c>
      <c r="H665" s="20"/>
      <c r="I665" s="20"/>
      <c r="J665" s="20"/>
      <c r="K665" s="20"/>
    </row>
    <row r="666" spans="1:11" ht="19.5" customHeight="1" x14ac:dyDescent="0.3">
      <c r="A666" s="22">
        <v>46045.616930266202</v>
      </c>
      <c r="B666" s="20">
        <v>66</v>
      </c>
      <c r="C666" s="20">
        <v>65</v>
      </c>
      <c r="D666" s="20">
        <v>65.239999999999995</v>
      </c>
      <c r="E666" s="20">
        <v>-0.24</v>
      </c>
      <c r="F666" s="20">
        <v>0.03</v>
      </c>
      <c r="G666" s="20">
        <v>1681.06</v>
      </c>
      <c r="H666" s="20"/>
      <c r="I666" s="20"/>
      <c r="J666" s="20"/>
      <c r="K666" s="20"/>
    </row>
    <row r="667" spans="1:11" ht="19.5" customHeight="1" x14ac:dyDescent="0.3">
      <c r="A667" s="22">
        <v>46045.61693142361</v>
      </c>
      <c r="B667" s="25">
        <v>66.099999999999994</v>
      </c>
      <c r="C667" s="20">
        <v>65</v>
      </c>
      <c r="D667" s="20">
        <v>65.25</v>
      </c>
      <c r="E667" s="20">
        <v>-0.25</v>
      </c>
      <c r="F667" s="20">
        <v>-0.01</v>
      </c>
      <c r="G667" s="20">
        <v>1674.86</v>
      </c>
      <c r="H667" s="20"/>
      <c r="I667" s="20"/>
      <c r="J667" s="20"/>
      <c r="K667" s="20"/>
    </row>
    <row r="668" spans="1:11" ht="19.5" customHeight="1" x14ac:dyDescent="0.3">
      <c r="A668" s="22">
        <v>46045.616932523146</v>
      </c>
      <c r="B668" s="25">
        <v>66.2</v>
      </c>
      <c r="C668" s="20">
        <v>80</v>
      </c>
      <c r="D668" s="20">
        <v>65.23</v>
      </c>
      <c r="E668" s="20">
        <v>14.77</v>
      </c>
      <c r="F668" s="20">
        <v>6</v>
      </c>
      <c r="G668" s="20">
        <v>2048</v>
      </c>
      <c r="H668" s="20"/>
      <c r="I668" s="20"/>
      <c r="J668" s="20"/>
      <c r="K668" s="20"/>
    </row>
    <row r="669" spans="1:11" ht="19.5" customHeight="1" x14ac:dyDescent="0.3">
      <c r="A669" s="22">
        <v>46045.616933738427</v>
      </c>
      <c r="B669" s="20">
        <v>66.3</v>
      </c>
      <c r="C669" s="20">
        <v>80</v>
      </c>
      <c r="D669" s="20">
        <v>65.290000000000006</v>
      </c>
      <c r="E669" s="20">
        <v>14.71</v>
      </c>
      <c r="F669" s="20">
        <v>-0.06</v>
      </c>
      <c r="G669" s="20">
        <v>3179.35</v>
      </c>
      <c r="H669" s="20"/>
      <c r="I669" s="20"/>
      <c r="J669" s="20"/>
      <c r="K669" s="20"/>
    </row>
    <row r="670" spans="1:11" ht="19.5" customHeight="1" x14ac:dyDescent="0.3">
      <c r="A670" s="22">
        <v>46045.616934895836</v>
      </c>
      <c r="B670" s="25">
        <v>66.400000000000006</v>
      </c>
      <c r="C670" s="20">
        <v>80</v>
      </c>
      <c r="D670" s="20">
        <v>65.319999999999993</v>
      </c>
      <c r="E670" s="20">
        <v>14.68</v>
      </c>
      <c r="F670" s="20">
        <v>-0.03</v>
      </c>
      <c r="G670" s="20">
        <v>3176.82</v>
      </c>
      <c r="H670" s="20"/>
      <c r="I670" s="20"/>
      <c r="J670" s="20"/>
      <c r="K670" s="20"/>
    </row>
    <row r="671" spans="1:11" ht="19.5" customHeight="1" x14ac:dyDescent="0.3">
      <c r="A671" s="22">
        <v>46045.616936053244</v>
      </c>
      <c r="B671" s="20">
        <v>66.5</v>
      </c>
      <c r="C671" s="20">
        <v>80</v>
      </c>
      <c r="D671" s="20">
        <v>65.33</v>
      </c>
      <c r="E671" s="20">
        <v>14.67</v>
      </c>
      <c r="F671" s="20">
        <v>-0.01</v>
      </c>
      <c r="G671" s="20">
        <v>3176.1</v>
      </c>
      <c r="H671" s="20"/>
      <c r="I671" s="20"/>
      <c r="J671" s="20"/>
      <c r="K671" s="20"/>
    </row>
    <row r="672" spans="1:11" ht="19.5" customHeight="1" x14ac:dyDescent="0.3">
      <c r="A672" s="22">
        <v>46045.616937210645</v>
      </c>
      <c r="B672" s="25">
        <v>66.599999999999994</v>
      </c>
      <c r="C672" s="20">
        <v>80</v>
      </c>
      <c r="D672" s="20">
        <v>65.33</v>
      </c>
      <c r="E672" s="20">
        <v>14.67</v>
      </c>
      <c r="F672" s="20">
        <v>0</v>
      </c>
      <c r="G672" s="20">
        <v>3176.46</v>
      </c>
      <c r="H672" s="20"/>
      <c r="I672" s="20"/>
      <c r="J672" s="20"/>
      <c r="K672" s="20"/>
    </row>
    <row r="673" spans="1:11" ht="19.5" customHeight="1" x14ac:dyDescent="0.3">
      <c r="A673" s="22">
        <v>46045.616938368054</v>
      </c>
      <c r="B673" s="25">
        <v>66.7</v>
      </c>
      <c r="C673" s="20">
        <v>80</v>
      </c>
      <c r="D673" s="20">
        <v>65.400000000000006</v>
      </c>
      <c r="E673" s="20">
        <v>14.6</v>
      </c>
      <c r="F673" s="20">
        <v>-0.08</v>
      </c>
      <c r="G673" s="20">
        <v>3169.57</v>
      </c>
      <c r="H673" s="20"/>
      <c r="I673" s="20"/>
      <c r="J673" s="20"/>
      <c r="K673" s="20"/>
    </row>
    <row r="674" spans="1:11" ht="19.5" customHeight="1" x14ac:dyDescent="0.3">
      <c r="A674" s="22">
        <v>46045.616939525462</v>
      </c>
      <c r="B674" s="20">
        <v>66.8</v>
      </c>
      <c r="C674" s="20">
        <v>80</v>
      </c>
      <c r="D674" s="20">
        <v>65.41</v>
      </c>
      <c r="E674" s="20">
        <v>14.59</v>
      </c>
      <c r="F674" s="20">
        <v>-0.01</v>
      </c>
      <c r="G674" s="20">
        <v>3168.84</v>
      </c>
      <c r="H674" s="20"/>
      <c r="I674" s="20"/>
      <c r="J674" s="20"/>
      <c r="K674" s="20"/>
    </row>
    <row r="675" spans="1:11" ht="19.5" customHeight="1" x14ac:dyDescent="0.3">
      <c r="A675" s="22">
        <v>46045.61694068287</v>
      </c>
      <c r="B675" s="25">
        <v>66.900000000000006</v>
      </c>
      <c r="C675" s="20">
        <v>80</v>
      </c>
      <c r="D675" s="20">
        <v>65.540000000000006</v>
      </c>
      <c r="E675" s="20">
        <v>14.46</v>
      </c>
      <c r="F675" s="20">
        <v>-0.12</v>
      </c>
      <c r="G675" s="20">
        <v>3157.48</v>
      </c>
      <c r="H675" s="20"/>
      <c r="I675" s="20"/>
      <c r="J675" s="20"/>
      <c r="K675" s="20"/>
    </row>
    <row r="676" spans="1:11" ht="19.5" customHeight="1" x14ac:dyDescent="0.3">
      <c r="A676" s="22">
        <v>46045.616941840279</v>
      </c>
      <c r="B676" s="20">
        <v>67</v>
      </c>
      <c r="C676" s="20">
        <v>80</v>
      </c>
      <c r="D676" s="20">
        <v>65.66</v>
      </c>
      <c r="E676" s="20">
        <v>14.34</v>
      </c>
      <c r="F676" s="20">
        <v>-0.12</v>
      </c>
      <c r="G676" s="20">
        <v>3145.98</v>
      </c>
      <c r="H676" s="20"/>
      <c r="I676" s="20"/>
      <c r="J676" s="20"/>
      <c r="K676" s="20"/>
    </row>
    <row r="677" spans="1:11" ht="19.5" customHeight="1" x14ac:dyDescent="0.3">
      <c r="A677" s="22">
        <v>46045.616942997687</v>
      </c>
      <c r="B677" s="25">
        <v>67.099999999999994</v>
      </c>
      <c r="C677" s="20">
        <v>80</v>
      </c>
      <c r="D677" s="20">
        <v>65.8</v>
      </c>
      <c r="E677" s="20">
        <v>14.2</v>
      </c>
      <c r="F677" s="20">
        <v>-0.14000000000000001</v>
      </c>
      <c r="G677" s="20">
        <v>3133.26</v>
      </c>
      <c r="H677" s="20"/>
      <c r="I677" s="20"/>
      <c r="J677" s="20"/>
      <c r="K677" s="20"/>
    </row>
    <row r="678" spans="1:11" ht="19.5" customHeight="1" x14ac:dyDescent="0.3">
      <c r="A678" s="22">
        <v>46045.616944155096</v>
      </c>
      <c r="B678" s="20">
        <v>67.2</v>
      </c>
      <c r="C678" s="20">
        <v>80</v>
      </c>
      <c r="D678" s="20">
        <v>65.94</v>
      </c>
      <c r="E678" s="20">
        <v>14.06</v>
      </c>
      <c r="F678" s="20">
        <v>-0.15</v>
      </c>
      <c r="G678" s="20">
        <v>3119.56</v>
      </c>
      <c r="H678" s="20"/>
      <c r="I678" s="20"/>
      <c r="J678" s="20"/>
      <c r="K678" s="20"/>
    </row>
    <row r="679" spans="1:11" ht="19.5" customHeight="1" x14ac:dyDescent="0.3">
      <c r="A679" s="22">
        <v>46045.616945324073</v>
      </c>
      <c r="B679" s="25">
        <v>67.3</v>
      </c>
      <c r="C679" s="20">
        <v>80</v>
      </c>
      <c r="D679" s="20">
        <v>66.12</v>
      </c>
      <c r="E679" s="20">
        <v>13.88</v>
      </c>
      <c r="F679" s="20">
        <v>-0.17</v>
      </c>
      <c r="G679" s="20">
        <v>3102.92</v>
      </c>
      <c r="H679" s="20"/>
      <c r="I679" s="20"/>
      <c r="J679" s="20"/>
      <c r="K679" s="20"/>
    </row>
    <row r="680" spans="1:11" ht="19.5" customHeight="1" x14ac:dyDescent="0.3">
      <c r="A680" s="22">
        <v>46045.616946481481</v>
      </c>
      <c r="B680" s="25">
        <v>67.400000000000006</v>
      </c>
      <c r="C680" s="20">
        <v>80</v>
      </c>
      <c r="D680" s="20">
        <v>66.31</v>
      </c>
      <c r="E680" s="20">
        <v>13.69</v>
      </c>
      <c r="F680" s="20">
        <v>-0.19</v>
      </c>
      <c r="G680" s="20">
        <v>3084</v>
      </c>
      <c r="H680" s="20"/>
      <c r="I680" s="20"/>
      <c r="J680" s="20"/>
      <c r="K680" s="20"/>
    </row>
    <row r="681" spans="1:11" ht="19.5" customHeight="1" x14ac:dyDescent="0.3">
      <c r="A681" s="22">
        <v>46045.616947627313</v>
      </c>
      <c r="B681" s="20">
        <v>67.5</v>
      </c>
      <c r="C681" s="20">
        <v>80</v>
      </c>
      <c r="D681" s="20">
        <v>66.5</v>
      </c>
      <c r="E681" s="20">
        <v>13.5</v>
      </c>
      <c r="F681" s="20">
        <v>-0.19</v>
      </c>
      <c r="G681" s="20">
        <v>3065.02</v>
      </c>
      <c r="H681" s="20"/>
      <c r="I681" s="20"/>
      <c r="J681" s="20"/>
      <c r="K681" s="20"/>
    </row>
    <row r="682" spans="1:11" ht="19.5" customHeight="1" x14ac:dyDescent="0.3">
      <c r="A682" s="22">
        <v>46045.616948784722</v>
      </c>
      <c r="B682" s="25">
        <v>67.599999999999994</v>
      </c>
      <c r="C682" s="20">
        <v>80</v>
      </c>
      <c r="D682" s="20">
        <v>66.72</v>
      </c>
      <c r="E682" s="20">
        <v>13.28</v>
      </c>
      <c r="F682" s="20">
        <v>-0.22</v>
      </c>
      <c r="G682" s="20">
        <v>3048.92</v>
      </c>
      <c r="H682" s="20"/>
      <c r="I682" s="20"/>
      <c r="J682" s="20"/>
      <c r="K682" s="20"/>
    </row>
    <row r="683" spans="1:11" ht="19.5" customHeight="1" x14ac:dyDescent="0.3">
      <c r="A683" s="22">
        <v>46045.61694994213</v>
      </c>
      <c r="B683" s="25">
        <v>67.7</v>
      </c>
      <c r="C683" s="20">
        <v>80</v>
      </c>
      <c r="D683" s="20">
        <v>66.94</v>
      </c>
      <c r="E683" s="20">
        <v>13.06</v>
      </c>
      <c r="F683" s="20">
        <v>-0.22</v>
      </c>
      <c r="G683" s="20">
        <v>3034.12</v>
      </c>
      <c r="H683" s="20"/>
      <c r="I683" s="20"/>
      <c r="J683" s="20"/>
      <c r="K683" s="20"/>
    </row>
    <row r="684" spans="1:11" ht="19.5" customHeight="1" x14ac:dyDescent="0.3">
      <c r="A684" s="22">
        <v>46045.616951099539</v>
      </c>
      <c r="B684" s="20">
        <v>67.8</v>
      </c>
      <c r="C684" s="20">
        <v>80</v>
      </c>
      <c r="D684" s="20">
        <v>67.16</v>
      </c>
      <c r="E684" s="20">
        <v>12.84</v>
      </c>
      <c r="F684" s="20">
        <v>-0.23</v>
      </c>
      <c r="G684" s="20">
        <v>3017.54</v>
      </c>
      <c r="H684" s="20"/>
      <c r="I684" s="20"/>
      <c r="J684" s="20"/>
      <c r="K684" s="20"/>
    </row>
    <row r="685" spans="1:11" ht="19.5" customHeight="1" x14ac:dyDescent="0.3">
      <c r="A685" s="22">
        <v>46045.616952256947</v>
      </c>
      <c r="B685" s="25">
        <v>67.900000000000006</v>
      </c>
      <c r="C685" s="20">
        <v>80</v>
      </c>
      <c r="D685" s="20">
        <v>67.37</v>
      </c>
      <c r="E685" s="20">
        <v>12.63</v>
      </c>
      <c r="F685" s="20">
        <v>-0.2</v>
      </c>
      <c r="G685" s="20">
        <v>2986.91</v>
      </c>
      <c r="H685" s="20"/>
      <c r="I685" s="20"/>
      <c r="J685" s="20"/>
      <c r="K685" s="20"/>
    </row>
    <row r="686" spans="1:11" ht="19.5" customHeight="1" x14ac:dyDescent="0.3">
      <c r="A686" s="22">
        <v>46045.616953414348</v>
      </c>
      <c r="B686" s="20">
        <v>68</v>
      </c>
      <c r="C686" s="20">
        <v>80</v>
      </c>
      <c r="D686" s="20">
        <v>67.569999999999993</v>
      </c>
      <c r="E686" s="20">
        <v>12.43</v>
      </c>
      <c r="F686" s="20">
        <v>-0.2</v>
      </c>
      <c r="G686" s="20">
        <v>2967.37</v>
      </c>
      <c r="H686" s="20"/>
      <c r="I686" s="20"/>
      <c r="J686" s="20"/>
      <c r="K686" s="20"/>
    </row>
    <row r="687" spans="1:11" ht="19.5" customHeight="1" x14ac:dyDescent="0.3">
      <c r="A687" s="22">
        <v>46045.616954583333</v>
      </c>
      <c r="B687" s="25">
        <v>68.099999999999994</v>
      </c>
      <c r="C687" s="20">
        <v>80</v>
      </c>
      <c r="D687" s="20">
        <v>67.78</v>
      </c>
      <c r="E687" s="20">
        <v>12.22</v>
      </c>
      <c r="F687" s="20">
        <v>-0.22</v>
      </c>
      <c r="G687" s="20">
        <v>2952.51</v>
      </c>
      <c r="H687" s="20"/>
      <c r="I687" s="20"/>
      <c r="J687" s="20"/>
      <c r="K687" s="20"/>
    </row>
    <row r="688" spans="1:11" ht="19.5" customHeight="1" x14ac:dyDescent="0.3">
      <c r="A688" s="22">
        <v>46045.616955729165</v>
      </c>
      <c r="B688" s="25">
        <v>68.2</v>
      </c>
      <c r="C688" s="20">
        <v>80</v>
      </c>
      <c r="D688" s="20">
        <v>68.05</v>
      </c>
      <c r="E688" s="20">
        <v>11.95</v>
      </c>
      <c r="F688" s="20">
        <v>-0.27</v>
      </c>
      <c r="G688" s="20">
        <v>2951.02</v>
      </c>
      <c r="H688" s="20"/>
      <c r="I688" s="20"/>
      <c r="J688" s="20"/>
      <c r="K688" s="20"/>
    </row>
    <row r="689" spans="1:11" ht="19.5" customHeight="1" x14ac:dyDescent="0.3">
      <c r="A689" s="22">
        <v>46045.61695689815</v>
      </c>
      <c r="B689" s="20">
        <v>68.3</v>
      </c>
      <c r="C689" s="20">
        <v>80</v>
      </c>
      <c r="D689" s="20">
        <v>68.27</v>
      </c>
      <c r="E689" s="20">
        <v>11.73</v>
      </c>
      <c r="F689" s="20">
        <v>-0.22</v>
      </c>
      <c r="G689" s="20">
        <v>2895.55</v>
      </c>
      <c r="H689" s="20"/>
      <c r="I689" s="20"/>
      <c r="J689" s="20"/>
      <c r="K689" s="20"/>
    </row>
    <row r="690" spans="1:11" ht="19.5" customHeight="1" x14ac:dyDescent="0.3">
      <c r="A690" s="22">
        <v>46045.616958043982</v>
      </c>
      <c r="B690" s="25">
        <v>68.400000000000006</v>
      </c>
      <c r="C690" s="20">
        <v>80</v>
      </c>
      <c r="D690" s="20">
        <v>68.5</v>
      </c>
      <c r="E690" s="20">
        <v>11.5</v>
      </c>
      <c r="F690" s="20">
        <v>-0.23</v>
      </c>
      <c r="G690" s="20">
        <v>2867.38</v>
      </c>
      <c r="H690" s="20"/>
      <c r="I690" s="20"/>
      <c r="J690" s="20"/>
      <c r="K690" s="20"/>
    </row>
    <row r="691" spans="1:11" ht="19.5" customHeight="1" x14ac:dyDescent="0.3">
      <c r="A691" s="22">
        <v>46045.61695920139</v>
      </c>
      <c r="B691" s="20">
        <v>68.5</v>
      </c>
      <c r="C691" s="20">
        <v>80</v>
      </c>
      <c r="D691" s="20">
        <v>68.7</v>
      </c>
      <c r="E691" s="20">
        <v>11.3</v>
      </c>
      <c r="F691" s="20">
        <v>-0.2</v>
      </c>
      <c r="G691" s="20">
        <v>2823.22</v>
      </c>
      <c r="H691" s="20"/>
      <c r="I691" s="20"/>
      <c r="J691" s="20"/>
      <c r="K691" s="20"/>
    </row>
    <row r="692" spans="1:11" ht="19.5" customHeight="1" x14ac:dyDescent="0.3">
      <c r="A692" s="22">
        <v>46045.616960381943</v>
      </c>
      <c r="B692" s="25">
        <v>68.599999999999994</v>
      </c>
      <c r="C692" s="20">
        <v>80</v>
      </c>
      <c r="D692" s="20">
        <v>68.95</v>
      </c>
      <c r="E692" s="20">
        <v>11.05</v>
      </c>
      <c r="F692" s="20">
        <v>-0.25</v>
      </c>
      <c r="G692" s="20">
        <v>2802.75</v>
      </c>
      <c r="H692" s="20"/>
      <c r="I692" s="20"/>
      <c r="J692" s="20"/>
      <c r="K692" s="20"/>
    </row>
    <row r="693" spans="1:11" ht="19.5" customHeight="1" x14ac:dyDescent="0.3">
      <c r="A693" s="22">
        <v>46045.616961516207</v>
      </c>
      <c r="B693" s="25">
        <v>68.7</v>
      </c>
      <c r="C693" s="20">
        <v>80</v>
      </c>
      <c r="D693" s="20">
        <v>69.17</v>
      </c>
      <c r="E693" s="20">
        <v>10.83</v>
      </c>
      <c r="F693" s="20">
        <v>-0.23</v>
      </c>
      <c r="G693" s="20">
        <v>2751.21</v>
      </c>
      <c r="H693" s="20"/>
      <c r="I693" s="20"/>
      <c r="J693" s="20"/>
      <c r="K693" s="20"/>
    </row>
    <row r="694" spans="1:11" ht="19.5" customHeight="1" x14ac:dyDescent="0.3">
      <c r="A694" s="22">
        <v>46045.616962673608</v>
      </c>
      <c r="B694" s="20">
        <v>68.8</v>
      </c>
      <c r="C694" s="20">
        <v>80</v>
      </c>
      <c r="D694" s="20">
        <v>69.349999999999994</v>
      </c>
      <c r="E694" s="20">
        <v>10.65</v>
      </c>
      <c r="F694" s="20">
        <v>-0.18</v>
      </c>
      <c r="G694" s="20">
        <v>2702.22</v>
      </c>
      <c r="H694" s="20"/>
      <c r="I694" s="20"/>
      <c r="J694" s="20"/>
      <c r="K694" s="20"/>
    </row>
    <row r="695" spans="1:11" ht="19.5" customHeight="1" x14ac:dyDescent="0.3">
      <c r="A695" s="22">
        <v>46045.616963831017</v>
      </c>
      <c r="B695" s="25">
        <v>68.900000000000006</v>
      </c>
      <c r="C695" s="20">
        <v>80</v>
      </c>
      <c r="D695" s="20">
        <v>69.61</v>
      </c>
      <c r="E695" s="20">
        <v>10.39</v>
      </c>
      <c r="F695" s="20">
        <v>-0.26</v>
      </c>
      <c r="G695" s="20">
        <v>2663.89</v>
      </c>
      <c r="H695" s="20"/>
      <c r="I695" s="20"/>
      <c r="J695" s="20"/>
      <c r="K695" s="20"/>
    </row>
    <row r="696" spans="1:11" ht="19.5" customHeight="1" x14ac:dyDescent="0.3">
      <c r="A696" s="22">
        <v>46045.616965000001</v>
      </c>
      <c r="B696" s="20">
        <v>69</v>
      </c>
      <c r="C696" s="20">
        <v>80</v>
      </c>
      <c r="D696" s="20">
        <v>69.739999999999995</v>
      </c>
      <c r="E696" s="20">
        <v>10.26</v>
      </c>
      <c r="F696" s="20">
        <v>-0.13</v>
      </c>
      <c r="G696" s="20">
        <v>2612.73</v>
      </c>
      <c r="H696" s="20"/>
      <c r="I696" s="20"/>
      <c r="J696" s="20"/>
      <c r="K696" s="20"/>
    </row>
    <row r="697" spans="1:11" ht="19.5" customHeight="1" x14ac:dyDescent="0.3">
      <c r="A697" s="22">
        <v>46045.616966145833</v>
      </c>
      <c r="B697" s="25">
        <v>69.099999999999994</v>
      </c>
      <c r="C697" s="20">
        <v>80</v>
      </c>
      <c r="D697" s="20">
        <v>70.010000000000005</v>
      </c>
      <c r="E697" s="20">
        <v>9.99</v>
      </c>
      <c r="F697" s="20">
        <v>-0.27</v>
      </c>
      <c r="G697" s="20">
        <v>2550</v>
      </c>
      <c r="H697" s="20"/>
      <c r="I697" s="20"/>
      <c r="J697" s="20"/>
      <c r="K697" s="20"/>
    </row>
    <row r="698" spans="1:11" ht="19.5" customHeight="1" x14ac:dyDescent="0.3">
      <c r="A698" s="22">
        <v>46045.616967303242</v>
      </c>
      <c r="B698" s="25">
        <v>69.2</v>
      </c>
      <c r="C698" s="20">
        <v>80</v>
      </c>
      <c r="D698" s="20">
        <v>70.17</v>
      </c>
      <c r="E698" s="20">
        <v>9.83</v>
      </c>
      <c r="F698" s="20">
        <v>-0.15</v>
      </c>
      <c r="G698" s="20">
        <v>2550</v>
      </c>
      <c r="H698" s="20"/>
      <c r="I698" s="20"/>
      <c r="J698" s="20"/>
      <c r="K698" s="20"/>
    </row>
    <row r="699" spans="1:11" ht="19.5" customHeight="1" x14ac:dyDescent="0.3">
      <c r="A699" s="22">
        <v>46045.616968472219</v>
      </c>
      <c r="B699" s="20">
        <v>69.3</v>
      </c>
      <c r="C699" s="20">
        <v>80</v>
      </c>
      <c r="D699" s="20">
        <v>70.36</v>
      </c>
      <c r="E699" s="20">
        <v>9.64</v>
      </c>
      <c r="F699" s="20">
        <v>-0.19</v>
      </c>
      <c r="G699" s="20">
        <v>2550</v>
      </c>
      <c r="H699" s="20"/>
      <c r="I699" s="20"/>
      <c r="J699" s="20"/>
      <c r="K699" s="20"/>
    </row>
    <row r="700" spans="1:11" ht="19.5" customHeight="1" x14ac:dyDescent="0.3">
      <c r="A700" s="22">
        <v>46045.616969618059</v>
      </c>
      <c r="B700" s="25">
        <v>69.400000000000006</v>
      </c>
      <c r="C700" s="20">
        <v>80</v>
      </c>
      <c r="D700" s="20">
        <v>70.540000000000006</v>
      </c>
      <c r="E700" s="20">
        <v>9.4600000000000009</v>
      </c>
      <c r="F700" s="20">
        <v>-0.19</v>
      </c>
      <c r="G700" s="20">
        <v>2550</v>
      </c>
      <c r="H700" s="20"/>
      <c r="I700" s="20"/>
      <c r="J700" s="20"/>
      <c r="K700" s="20"/>
    </row>
    <row r="701" spans="1:11" ht="19.5" customHeight="1" x14ac:dyDescent="0.3">
      <c r="A701" s="22">
        <v>46045.61697077546</v>
      </c>
      <c r="B701" s="20">
        <v>69.5</v>
      </c>
      <c r="C701" s="20">
        <v>80</v>
      </c>
      <c r="D701" s="20">
        <v>70.709999999999994</v>
      </c>
      <c r="E701" s="20">
        <v>9.2899999999999991</v>
      </c>
      <c r="F701" s="20">
        <v>-0.16</v>
      </c>
      <c r="G701" s="20">
        <v>2550</v>
      </c>
      <c r="H701" s="20"/>
      <c r="I701" s="20"/>
      <c r="J701" s="20"/>
      <c r="K701" s="20"/>
    </row>
    <row r="702" spans="1:11" ht="19.5" customHeight="1" x14ac:dyDescent="0.3">
      <c r="A702" s="22">
        <v>46045.616971932868</v>
      </c>
      <c r="B702" s="25">
        <v>69.599999999999994</v>
      </c>
      <c r="C702" s="20">
        <v>80</v>
      </c>
      <c r="D702" s="20">
        <v>70.87</v>
      </c>
      <c r="E702" s="20">
        <v>9.1300000000000008</v>
      </c>
      <c r="F702" s="20">
        <v>-0.17</v>
      </c>
      <c r="G702" s="20">
        <v>2550</v>
      </c>
      <c r="H702" s="20"/>
      <c r="I702" s="20"/>
      <c r="J702" s="20"/>
      <c r="K702" s="20"/>
    </row>
    <row r="703" spans="1:11" ht="19.5" customHeight="1" x14ac:dyDescent="0.3">
      <c r="A703" s="22">
        <v>46045.616973090277</v>
      </c>
      <c r="B703" s="20">
        <v>69.7</v>
      </c>
      <c r="C703" s="20">
        <v>80</v>
      </c>
      <c r="D703" s="20">
        <v>71</v>
      </c>
      <c r="E703" s="20">
        <v>9</v>
      </c>
      <c r="F703" s="20">
        <v>-0.13</v>
      </c>
      <c r="G703" s="20">
        <v>2550</v>
      </c>
      <c r="H703" s="20"/>
      <c r="I703" s="20"/>
      <c r="J703" s="20"/>
      <c r="K703" s="20"/>
    </row>
    <row r="704" spans="1:11" ht="19.5" customHeight="1" x14ac:dyDescent="0.3">
      <c r="A704" s="22">
        <v>46045.616974259261</v>
      </c>
      <c r="B704" s="25">
        <v>69.8</v>
      </c>
      <c r="C704" s="20">
        <v>80</v>
      </c>
      <c r="D704" s="20">
        <v>71.17</v>
      </c>
      <c r="E704" s="20">
        <v>8.83</v>
      </c>
      <c r="F704" s="20">
        <v>-0.17</v>
      </c>
      <c r="G704" s="20">
        <v>2550</v>
      </c>
      <c r="H704" s="20"/>
      <c r="I704" s="20"/>
      <c r="J704" s="20"/>
      <c r="K704" s="20"/>
    </row>
    <row r="705" spans="1:11" ht="19.5" customHeight="1" x14ac:dyDescent="0.3">
      <c r="A705" s="22">
        <v>46045.616975405093</v>
      </c>
      <c r="B705" s="25">
        <v>69.900000000000006</v>
      </c>
      <c r="C705" s="20">
        <v>80</v>
      </c>
      <c r="D705" s="20">
        <v>71.25</v>
      </c>
      <c r="E705" s="20">
        <v>8.75</v>
      </c>
      <c r="F705" s="20">
        <v>-0.08</v>
      </c>
      <c r="G705" s="20">
        <v>2550</v>
      </c>
      <c r="H705" s="20"/>
      <c r="I705" s="20"/>
      <c r="J705" s="20"/>
      <c r="K705" s="20"/>
    </row>
    <row r="706" spans="1:11" ht="19.5" customHeight="1" x14ac:dyDescent="0.3">
      <c r="A706" s="22">
        <v>46045.616976562502</v>
      </c>
      <c r="B706" s="20">
        <v>70</v>
      </c>
      <c r="C706" s="20">
        <v>80</v>
      </c>
      <c r="D706" s="20">
        <v>71.42</v>
      </c>
      <c r="E706" s="20">
        <v>8.58</v>
      </c>
      <c r="F706" s="20">
        <v>-0.17</v>
      </c>
      <c r="G706" s="20">
        <v>2550</v>
      </c>
      <c r="H706" s="20"/>
      <c r="I706" s="20"/>
      <c r="J706" s="20"/>
      <c r="K706" s="20"/>
    </row>
    <row r="707" spans="1:11" ht="19.5" customHeight="1" x14ac:dyDescent="0.3">
      <c r="A707" s="22">
        <v>46045.61697771991</v>
      </c>
      <c r="B707" s="25">
        <v>70.099999999999994</v>
      </c>
      <c r="C707" s="20">
        <v>80</v>
      </c>
      <c r="D707" s="20">
        <v>71.56</v>
      </c>
      <c r="E707" s="20">
        <v>8.44</v>
      </c>
      <c r="F707" s="20">
        <v>-0.13</v>
      </c>
      <c r="G707" s="20">
        <v>2550</v>
      </c>
      <c r="H707" s="20"/>
      <c r="I707" s="20"/>
      <c r="J707" s="20"/>
      <c r="K707" s="20"/>
    </row>
    <row r="708" spans="1:11" ht="19.5" customHeight="1" x14ac:dyDescent="0.3">
      <c r="A708" s="22">
        <v>46045.616978877311</v>
      </c>
      <c r="B708" s="25">
        <v>70.2</v>
      </c>
      <c r="C708" s="20">
        <v>80</v>
      </c>
      <c r="D708" s="20">
        <v>71.64</v>
      </c>
      <c r="E708" s="20">
        <v>8.36</v>
      </c>
      <c r="F708" s="20">
        <v>-0.09</v>
      </c>
      <c r="G708" s="20">
        <v>2550</v>
      </c>
      <c r="H708" s="20"/>
      <c r="I708" s="20"/>
      <c r="J708" s="20"/>
      <c r="K708" s="20"/>
    </row>
    <row r="709" spans="1:11" ht="19.5" customHeight="1" x14ac:dyDescent="0.3">
      <c r="A709" s="22">
        <v>46045.61698003472</v>
      </c>
      <c r="B709" s="20">
        <v>70.3</v>
      </c>
      <c r="C709" s="20">
        <v>80</v>
      </c>
      <c r="D709" s="20">
        <v>71.77</v>
      </c>
      <c r="E709" s="20">
        <v>8.23</v>
      </c>
      <c r="F709" s="20">
        <v>-0.12</v>
      </c>
      <c r="G709" s="20">
        <v>2550</v>
      </c>
      <c r="H709" s="20"/>
      <c r="I709" s="20"/>
      <c r="J709" s="20"/>
      <c r="K709" s="20"/>
    </row>
    <row r="710" spans="1:11" ht="19.5" customHeight="1" x14ac:dyDescent="0.3">
      <c r="A710" s="22">
        <v>46045.616981203704</v>
      </c>
      <c r="B710" s="25">
        <v>70.400000000000006</v>
      </c>
      <c r="C710" s="20">
        <v>80</v>
      </c>
      <c r="D710" s="20">
        <v>71.91</v>
      </c>
      <c r="E710" s="20">
        <v>8.09</v>
      </c>
      <c r="F710" s="20">
        <v>-0.14000000000000001</v>
      </c>
      <c r="G710" s="20">
        <v>2550</v>
      </c>
      <c r="H710" s="20"/>
      <c r="I710" s="20"/>
      <c r="J710" s="20"/>
      <c r="K710" s="20"/>
    </row>
    <row r="711" spans="1:11" ht="19.5" customHeight="1" x14ac:dyDescent="0.3">
      <c r="A711" s="22">
        <v>46045.616982349537</v>
      </c>
      <c r="B711" s="20">
        <v>70.5</v>
      </c>
      <c r="C711" s="20">
        <v>80</v>
      </c>
      <c r="D711" s="20">
        <v>72.02</v>
      </c>
      <c r="E711" s="20">
        <v>7.98</v>
      </c>
      <c r="F711" s="20">
        <v>-0.11</v>
      </c>
      <c r="G711" s="20">
        <v>2550</v>
      </c>
      <c r="H711" s="20"/>
      <c r="I711" s="20"/>
      <c r="J711" s="20"/>
      <c r="K711" s="20"/>
    </row>
    <row r="712" spans="1:11" ht="19.5" customHeight="1" x14ac:dyDescent="0.3">
      <c r="A712" s="22">
        <v>46045.616983506945</v>
      </c>
      <c r="B712" s="25">
        <v>70.599999999999994</v>
      </c>
      <c r="C712" s="20">
        <v>80</v>
      </c>
      <c r="D712" s="20">
        <v>72.180000000000007</v>
      </c>
      <c r="E712" s="20">
        <v>7.82</v>
      </c>
      <c r="F712" s="20">
        <v>-0.17</v>
      </c>
      <c r="G712" s="20">
        <v>2550</v>
      </c>
      <c r="H712" s="20"/>
      <c r="I712" s="20"/>
      <c r="J712" s="20"/>
      <c r="K712" s="20"/>
    </row>
    <row r="713" spans="1:11" ht="19.5" customHeight="1" x14ac:dyDescent="0.3">
      <c r="A713" s="22">
        <v>46045.616984664353</v>
      </c>
      <c r="B713" s="20">
        <v>70.7</v>
      </c>
      <c r="C713" s="20">
        <v>80</v>
      </c>
      <c r="D713" s="20">
        <v>72.319999999999993</v>
      </c>
      <c r="E713" s="20">
        <v>7.68</v>
      </c>
      <c r="F713" s="20">
        <v>-0.13</v>
      </c>
      <c r="G713" s="20">
        <v>2550</v>
      </c>
      <c r="H713" s="20"/>
      <c r="I713" s="20"/>
      <c r="J713" s="20"/>
      <c r="K713" s="20"/>
    </row>
    <row r="714" spans="1:11" ht="19.5" customHeight="1" x14ac:dyDescent="0.3">
      <c r="A714" s="22">
        <v>46045.616985821762</v>
      </c>
      <c r="B714" s="25">
        <v>70.8</v>
      </c>
      <c r="C714" s="20">
        <v>80</v>
      </c>
      <c r="D714" s="20">
        <v>72.45</v>
      </c>
      <c r="E714" s="20">
        <v>7.55</v>
      </c>
      <c r="F714" s="20">
        <v>-0.14000000000000001</v>
      </c>
      <c r="G714" s="20">
        <v>2550</v>
      </c>
      <c r="H714" s="20"/>
      <c r="I714" s="20"/>
      <c r="J714" s="20"/>
      <c r="K714" s="20"/>
    </row>
    <row r="715" spans="1:11" ht="19.5" customHeight="1" x14ac:dyDescent="0.3">
      <c r="A715" s="22">
        <v>46045.61698697917</v>
      </c>
      <c r="B715" s="25">
        <v>70.900000000000006</v>
      </c>
      <c r="C715" s="20">
        <v>80</v>
      </c>
      <c r="D715" s="20">
        <v>72.56</v>
      </c>
      <c r="E715" s="20">
        <v>7.44</v>
      </c>
      <c r="F715" s="20">
        <v>-0.11</v>
      </c>
      <c r="G715" s="20">
        <v>2550</v>
      </c>
      <c r="H715" s="20"/>
      <c r="I715" s="20"/>
      <c r="J715" s="20"/>
      <c r="K715" s="20"/>
    </row>
    <row r="716" spans="1:11" ht="19.5" customHeight="1" x14ac:dyDescent="0.3">
      <c r="A716" s="22">
        <v>46045.616988136571</v>
      </c>
      <c r="B716" s="20">
        <v>71</v>
      </c>
      <c r="C716" s="20">
        <v>80</v>
      </c>
      <c r="D716" s="20">
        <v>72.69</v>
      </c>
      <c r="E716" s="20">
        <v>7.31</v>
      </c>
      <c r="F716" s="20">
        <v>-0.12</v>
      </c>
      <c r="G716" s="20">
        <v>2550</v>
      </c>
      <c r="H716" s="20"/>
      <c r="I716" s="20"/>
      <c r="J716" s="20"/>
      <c r="K716" s="20"/>
    </row>
    <row r="717" spans="1:11" ht="19.5" customHeight="1" x14ac:dyDescent="0.3">
      <c r="A717" s="22">
        <v>46045.61698929398</v>
      </c>
      <c r="B717" s="25">
        <v>71.099999999999994</v>
      </c>
      <c r="C717" s="20">
        <v>80</v>
      </c>
      <c r="D717" s="20">
        <v>72.83</v>
      </c>
      <c r="E717" s="20">
        <v>7.17</v>
      </c>
      <c r="F717" s="20">
        <v>-0.14000000000000001</v>
      </c>
      <c r="G717" s="20">
        <v>2550</v>
      </c>
      <c r="H717" s="20"/>
      <c r="I717" s="20"/>
      <c r="J717" s="20"/>
      <c r="K717" s="20"/>
    </row>
    <row r="718" spans="1:11" ht="19.5" customHeight="1" x14ac:dyDescent="0.3">
      <c r="A718" s="22">
        <v>46045.616990462964</v>
      </c>
      <c r="B718" s="20">
        <v>71.2</v>
      </c>
      <c r="C718" s="20">
        <v>80</v>
      </c>
      <c r="D718" s="20">
        <v>72.930000000000007</v>
      </c>
      <c r="E718" s="20">
        <v>7.07</v>
      </c>
      <c r="F718" s="20">
        <v>-0.1</v>
      </c>
      <c r="G718" s="20">
        <v>2550</v>
      </c>
      <c r="H718" s="20"/>
      <c r="I718" s="20"/>
      <c r="J718" s="20"/>
      <c r="K718" s="20"/>
    </row>
    <row r="719" spans="1:11" ht="19.5" customHeight="1" x14ac:dyDescent="0.3">
      <c r="A719" s="22">
        <v>46045.616991608797</v>
      </c>
      <c r="B719" s="25">
        <v>71.3</v>
      </c>
      <c r="C719" s="20">
        <v>80</v>
      </c>
      <c r="D719" s="20">
        <v>73.069999999999993</v>
      </c>
      <c r="E719" s="20">
        <v>6.93</v>
      </c>
      <c r="F719" s="20">
        <v>-0.14000000000000001</v>
      </c>
      <c r="G719" s="20">
        <v>2550</v>
      </c>
      <c r="H719" s="20"/>
      <c r="I719" s="20"/>
      <c r="J719" s="20"/>
      <c r="K719" s="20"/>
    </row>
    <row r="720" spans="1:11" ht="19.5" customHeight="1" x14ac:dyDescent="0.3">
      <c r="A720" s="22">
        <v>46045.616992766205</v>
      </c>
      <c r="B720" s="25">
        <v>71.400000000000006</v>
      </c>
      <c r="C720" s="20">
        <v>80</v>
      </c>
      <c r="D720" s="20">
        <v>73.19</v>
      </c>
      <c r="E720" s="20">
        <v>6.81</v>
      </c>
      <c r="F720" s="20">
        <v>-0.12</v>
      </c>
      <c r="G720" s="20">
        <v>2550</v>
      </c>
      <c r="H720" s="20"/>
      <c r="I720" s="20"/>
      <c r="J720" s="20"/>
      <c r="K720" s="20"/>
    </row>
    <row r="721" spans="1:11" ht="19.5" customHeight="1" x14ac:dyDescent="0.3">
      <c r="A721" s="22">
        <v>46045.616993923613</v>
      </c>
      <c r="B721" s="20">
        <v>71.5</v>
      </c>
      <c r="C721" s="20">
        <v>80</v>
      </c>
      <c r="D721" s="20">
        <v>73.28</v>
      </c>
      <c r="E721" s="20">
        <v>6.72</v>
      </c>
      <c r="F721" s="20">
        <v>-0.08</v>
      </c>
      <c r="G721" s="20">
        <v>2550</v>
      </c>
      <c r="H721" s="20"/>
      <c r="I721" s="20"/>
      <c r="J721" s="20"/>
      <c r="K721" s="20"/>
    </row>
    <row r="722" spans="1:11" ht="19.5" customHeight="1" x14ac:dyDescent="0.3">
      <c r="A722" s="22">
        <v>46045.616995081022</v>
      </c>
      <c r="B722" s="25">
        <v>71.599999999999994</v>
      </c>
      <c r="C722" s="20">
        <v>80</v>
      </c>
      <c r="D722" s="20">
        <v>73.41</v>
      </c>
      <c r="E722" s="20">
        <v>6.59</v>
      </c>
      <c r="F722" s="20">
        <v>-0.14000000000000001</v>
      </c>
      <c r="G722" s="20">
        <v>2550</v>
      </c>
      <c r="H722" s="20"/>
      <c r="I722" s="20"/>
      <c r="J722" s="20"/>
      <c r="K722" s="20"/>
    </row>
    <row r="723" spans="1:11" ht="19.5" customHeight="1" x14ac:dyDescent="0.3">
      <c r="A723" s="22">
        <v>46045.616996249999</v>
      </c>
      <c r="B723" s="20">
        <v>71.7</v>
      </c>
      <c r="C723" s="20">
        <v>80</v>
      </c>
      <c r="D723" s="20">
        <v>73.53</v>
      </c>
      <c r="E723" s="20">
        <v>6.47</v>
      </c>
      <c r="F723" s="20">
        <v>-0.12</v>
      </c>
      <c r="G723" s="20">
        <v>2550</v>
      </c>
      <c r="H723" s="20"/>
      <c r="I723" s="20"/>
      <c r="J723" s="20"/>
      <c r="K723" s="20"/>
    </row>
    <row r="724" spans="1:11" ht="19.5" customHeight="1" x14ac:dyDescent="0.3">
      <c r="A724" s="22">
        <v>46045.616997395831</v>
      </c>
      <c r="B724" s="25">
        <v>71.8</v>
      </c>
      <c r="C724" s="20">
        <v>80</v>
      </c>
      <c r="D724" s="20">
        <v>73.62</v>
      </c>
      <c r="E724" s="20">
        <v>6.38</v>
      </c>
      <c r="F724" s="20">
        <v>-0.08</v>
      </c>
      <c r="G724" s="20">
        <v>2550</v>
      </c>
      <c r="H724" s="20"/>
      <c r="I724" s="20"/>
      <c r="J724" s="20"/>
      <c r="K724" s="20"/>
    </row>
    <row r="725" spans="1:11" ht="19.5" customHeight="1" x14ac:dyDescent="0.3">
      <c r="A725" s="22">
        <v>46045.616998564816</v>
      </c>
      <c r="B725" s="20">
        <v>71.900000000000006</v>
      </c>
      <c r="C725" s="20">
        <v>80</v>
      </c>
      <c r="D725" s="20">
        <v>73.73</v>
      </c>
      <c r="E725" s="20">
        <v>6.27</v>
      </c>
      <c r="F725" s="20">
        <v>-0.12</v>
      </c>
      <c r="G725" s="20">
        <v>2550</v>
      </c>
      <c r="H725" s="20"/>
      <c r="I725" s="20"/>
      <c r="J725" s="20"/>
      <c r="K725" s="20"/>
    </row>
    <row r="726" spans="1:11" ht="19.5" customHeight="1" x14ac:dyDescent="0.3">
      <c r="A726" s="22">
        <v>46045.616999710648</v>
      </c>
      <c r="B726" s="25">
        <v>72</v>
      </c>
      <c r="C726" s="20">
        <v>80</v>
      </c>
      <c r="D726" s="20">
        <v>73.819999999999993</v>
      </c>
      <c r="E726" s="20">
        <v>6.18</v>
      </c>
      <c r="F726" s="20">
        <v>-0.09</v>
      </c>
      <c r="G726" s="20">
        <v>2550</v>
      </c>
      <c r="H726" s="20"/>
      <c r="I726" s="20"/>
      <c r="J726" s="20"/>
      <c r="K726" s="20"/>
    </row>
    <row r="727" spans="1:11" ht="19.5" customHeight="1" x14ac:dyDescent="0.3">
      <c r="A727" s="22">
        <v>46045.617000868056</v>
      </c>
      <c r="B727" s="25">
        <v>72.099999999999994</v>
      </c>
      <c r="C727" s="20">
        <v>80</v>
      </c>
      <c r="D727" s="20">
        <v>73.88</v>
      </c>
      <c r="E727" s="20">
        <v>6.12</v>
      </c>
      <c r="F727" s="20">
        <v>-0.06</v>
      </c>
      <c r="G727" s="20">
        <v>2550</v>
      </c>
      <c r="H727" s="20"/>
      <c r="I727" s="20"/>
      <c r="J727" s="20"/>
      <c r="K727" s="20"/>
    </row>
    <row r="728" spans="1:11" ht="19.5" customHeight="1" x14ac:dyDescent="0.3">
      <c r="A728" s="22">
        <v>46045.617002037034</v>
      </c>
      <c r="B728" s="20">
        <v>72.2</v>
      </c>
      <c r="C728" s="20">
        <v>80</v>
      </c>
      <c r="D728" s="20">
        <v>74.02</v>
      </c>
      <c r="E728" s="20">
        <v>5.98</v>
      </c>
      <c r="F728" s="20">
        <v>-0.14000000000000001</v>
      </c>
      <c r="G728" s="20">
        <v>2550</v>
      </c>
      <c r="H728" s="20"/>
      <c r="I728" s="20"/>
      <c r="J728" s="20"/>
      <c r="K728" s="20"/>
    </row>
    <row r="729" spans="1:11" ht="19.5" customHeight="1" x14ac:dyDescent="0.3">
      <c r="A729" s="22">
        <v>46045.617003182873</v>
      </c>
      <c r="B729" s="25">
        <v>72.3</v>
      </c>
      <c r="C729" s="20">
        <v>80</v>
      </c>
      <c r="D729" s="20">
        <v>74.13</v>
      </c>
      <c r="E729" s="20">
        <v>5.87</v>
      </c>
      <c r="F729" s="20">
        <v>-0.11</v>
      </c>
      <c r="G729" s="20">
        <v>2550</v>
      </c>
      <c r="H729" s="20"/>
      <c r="I729" s="20"/>
      <c r="J729" s="20"/>
      <c r="K729" s="20"/>
    </row>
    <row r="730" spans="1:11" ht="19.5" customHeight="1" x14ac:dyDescent="0.3">
      <c r="A730" s="22">
        <v>46045.617004340274</v>
      </c>
      <c r="B730" s="20">
        <v>72.400000000000006</v>
      </c>
      <c r="C730" s="20">
        <v>80</v>
      </c>
      <c r="D730" s="20">
        <v>74.19</v>
      </c>
      <c r="E730" s="20">
        <v>5.81</v>
      </c>
      <c r="F730" s="20">
        <v>-0.05</v>
      </c>
      <c r="G730" s="20">
        <v>2550</v>
      </c>
      <c r="H730" s="20"/>
      <c r="I730" s="20"/>
      <c r="J730" s="20"/>
      <c r="K730" s="20"/>
    </row>
    <row r="731" spans="1:11" ht="19.5" customHeight="1" x14ac:dyDescent="0.3">
      <c r="A731" s="22">
        <v>46045.617005497683</v>
      </c>
      <c r="B731" s="25">
        <v>72.5</v>
      </c>
      <c r="C731" s="20">
        <v>80</v>
      </c>
      <c r="D731" s="20">
        <v>74.31</v>
      </c>
      <c r="E731" s="20">
        <v>5.69</v>
      </c>
      <c r="F731" s="20">
        <v>-0.12</v>
      </c>
      <c r="G731" s="20">
        <v>2550</v>
      </c>
      <c r="H731" s="20"/>
      <c r="I731" s="20"/>
      <c r="J731" s="20"/>
      <c r="K731" s="20"/>
    </row>
    <row r="732" spans="1:11" ht="19.5" customHeight="1" x14ac:dyDescent="0.3">
      <c r="A732" s="22">
        <v>46045.617006655091</v>
      </c>
      <c r="B732" s="25">
        <v>72.599999999999994</v>
      </c>
      <c r="C732" s="20">
        <v>80</v>
      </c>
      <c r="D732" s="20">
        <v>74.42</v>
      </c>
      <c r="E732" s="20">
        <v>5.58</v>
      </c>
      <c r="F732" s="20">
        <v>-0.1</v>
      </c>
      <c r="G732" s="20">
        <v>2550</v>
      </c>
      <c r="H732" s="20"/>
      <c r="I732" s="20"/>
      <c r="J732" s="20"/>
      <c r="K732" s="20"/>
    </row>
    <row r="733" spans="1:11" ht="19.5" customHeight="1" x14ac:dyDescent="0.3">
      <c r="A733" s="22">
        <v>46045.617007824076</v>
      </c>
      <c r="B733" s="20">
        <v>72.7</v>
      </c>
      <c r="C733" s="20">
        <v>80</v>
      </c>
      <c r="D733" s="20">
        <v>74.489999999999995</v>
      </c>
      <c r="E733" s="20">
        <v>5.51</v>
      </c>
      <c r="F733" s="20">
        <v>-0.08</v>
      </c>
      <c r="G733" s="20">
        <v>2550</v>
      </c>
      <c r="H733" s="20"/>
      <c r="I733" s="20"/>
      <c r="J733" s="20"/>
      <c r="K733" s="20"/>
    </row>
    <row r="734" spans="1:11" ht="19.5" customHeight="1" x14ac:dyDescent="0.3">
      <c r="A734" s="22">
        <v>46045.617008969908</v>
      </c>
      <c r="B734" s="25">
        <v>72.8</v>
      </c>
      <c r="C734" s="20">
        <v>80</v>
      </c>
      <c r="D734" s="20">
        <v>74.62</v>
      </c>
      <c r="E734" s="20">
        <v>5.38</v>
      </c>
      <c r="F734" s="20">
        <v>-0.12</v>
      </c>
      <c r="G734" s="20">
        <v>2550</v>
      </c>
      <c r="H734" s="20"/>
      <c r="I734" s="20"/>
      <c r="J734" s="20"/>
      <c r="K734" s="20"/>
    </row>
    <row r="735" spans="1:11" ht="19.5" customHeight="1" x14ac:dyDescent="0.3">
      <c r="A735" s="22">
        <v>46045.617010138893</v>
      </c>
      <c r="B735" s="20">
        <v>72.900000000000006</v>
      </c>
      <c r="C735" s="20">
        <v>80</v>
      </c>
      <c r="D735" s="20">
        <v>74.69</v>
      </c>
      <c r="E735" s="20">
        <v>5.31</v>
      </c>
      <c r="F735" s="20">
        <v>-7.0000000000000007E-2</v>
      </c>
      <c r="G735" s="20">
        <v>2550</v>
      </c>
      <c r="H735" s="20"/>
      <c r="I735" s="20"/>
      <c r="J735" s="20"/>
      <c r="K735" s="20"/>
    </row>
    <row r="736" spans="1:11" ht="19.5" customHeight="1" x14ac:dyDescent="0.3">
      <c r="A736" s="22">
        <v>46045.617011284725</v>
      </c>
      <c r="B736" s="25">
        <v>73</v>
      </c>
      <c r="C736" s="20">
        <v>80</v>
      </c>
      <c r="D736" s="20">
        <v>74.790000000000006</v>
      </c>
      <c r="E736" s="20">
        <v>5.21</v>
      </c>
      <c r="F736" s="20">
        <v>-0.1</v>
      </c>
      <c r="G736" s="20">
        <v>2550</v>
      </c>
      <c r="H736" s="20"/>
      <c r="I736" s="20"/>
      <c r="J736" s="20"/>
      <c r="K736" s="20"/>
    </row>
    <row r="737" spans="1:11" ht="19.5" customHeight="1" x14ac:dyDescent="0.3">
      <c r="A737" s="22">
        <v>46045.617012442126</v>
      </c>
      <c r="B737" s="25">
        <v>73.099999999999994</v>
      </c>
      <c r="C737" s="20">
        <v>80</v>
      </c>
      <c r="D737" s="20">
        <v>74.86</v>
      </c>
      <c r="E737" s="20">
        <v>5.14</v>
      </c>
      <c r="F737" s="20">
        <v>-0.08</v>
      </c>
      <c r="G737" s="20">
        <v>2550</v>
      </c>
      <c r="H737" s="20"/>
      <c r="I737" s="20"/>
      <c r="J737" s="20"/>
      <c r="K737" s="20"/>
    </row>
    <row r="738" spans="1:11" ht="19.5" customHeight="1" x14ac:dyDescent="0.3">
      <c r="A738" s="22">
        <v>46045.617013599534</v>
      </c>
      <c r="B738" s="20">
        <v>73.2</v>
      </c>
      <c r="C738" s="20">
        <v>80</v>
      </c>
      <c r="D738" s="20">
        <v>74.959999999999994</v>
      </c>
      <c r="E738" s="20">
        <v>5.04</v>
      </c>
      <c r="F738" s="20">
        <v>-0.09</v>
      </c>
      <c r="G738" s="20">
        <v>2550</v>
      </c>
      <c r="H738" s="20"/>
      <c r="I738" s="20"/>
      <c r="J738" s="20"/>
      <c r="K738" s="20"/>
    </row>
    <row r="739" spans="1:11" ht="19.5" customHeight="1" x14ac:dyDescent="0.3">
      <c r="A739" s="22">
        <v>46045.617014756943</v>
      </c>
      <c r="B739" s="25">
        <v>73.3</v>
      </c>
      <c r="C739" s="20">
        <v>80</v>
      </c>
      <c r="D739" s="20">
        <v>75.040000000000006</v>
      </c>
      <c r="E739" s="20">
        <v>4.96</v>
      </c>
      <c r="F739" s="20">
        <v>-0.08</v>
      </c>
      <c r="G739" s="20">
        <v>2550</v>
      </c>
      <c r="H739" s="20"/>
      <c r="I739" s="20"/>
      <c r="J739" s="20"/>
      <c r="K739" s="20"/>
    </row>
    <row r="740" spans="1:11" ht="19.5" customHeight="1" x14ac:dyDescent="0.3">
      <c r="A740" s="22">
        <v>46045.617015925927</v>
      </c>
      <c r="B740" s="20">
        <v>73.400000000000006</v>
      </c>
      <c r="C740" s="20">
        <v>80</v>
      </c>
      <c r="D740" s="20">
        <v>75.12</v>
      </c>
      <c r="E740" s="20">
        <v>4.88</v>
      </c>
      <c r="F740" s="20">
        <v>-0.08</v>
      </c>
      <c r="G740" s="20">
        <v>2550</v>
      </c>
      <c r="H740" s="20"/>
      <c r="I740" s="20"/>
      <c r="J740" s="20"/>
      <c r="K740" s="20"/>
    </row>
    <row r="741" spans="1:11" ht="19.5" customHeight="1" x14ac:dyDescent="0.3">
      <c r="A741" s="22">
        <v>46045.61701707176</v>
      </c>
      <c r="B741" s="25">
        <v>73.5</v>
      </c>
      <c r="C741" s="20">
        <v>80</v>
      </c>
      <c r="D741" s="20">
        <v>75.17</v>
      </c>
      <c r="E741" s="20">
        <v>4.83</v>
      </c>
      <c r="F741" s="20">
        <v>-0.05</v>
      </c>
      <c r="G741" s="20">
        <v>2550</v>
      </c>
      <c r="H741" s="20"/>
      <c r="I741" s="20"/>
      <c r="J741" s="20"/>
      <c r="K741" s="20"/>
    </row>
    <row r="742" spans="1:11" ht="19.5" customHeight="1" x14ac:dyDescent="0.3">
      <c r="A742" s="22">
        <v>46045.617018240744</v>
      </c>
      <c r="B742" s="25">
        <v>73.599999999999994</v>
      </c>
      <c r="C742" s="20">
        <v>80</v>
      </c>
      <c r="D742" s="20">
        <v>75.3</v>
      </c>
      <c r="E742" s="20">
        <v>4.7</v>
      </c>
      <c r="F742" s="20">
        <v>-0.12</v>
      </c>
      <c r="G742" s="20">
        <v>2550</v>
      </c>
      <c r="H742" s="20"/>
      <c r="I742" s="20"/>
      <c r="J742" s="20"/>
      <c r="K742" s="20"/>
    </row>
    <row r="743" spans="1:11" ht="19.5" customHeight="1" x14ac:dyDescent="0.3">
      <c r="A743" s="22">
        <v>46045.617019398145</v>
      </c>
      <c r="B743" s="20">
        <v>73.7</v>
      </c>
      <c r="C743" s="20">
        <v>80</v>
      </c>
      <c r="D743" s="20">
        <v>75.37</v>
      </c>
      <c r="E743" s="20">
        <v>4.63</v>
      </c>
      <c r="F743" s="20">
        <v>-0.08</v>
      </c>
      <c r="G743" s="20">
        <v>2550</v>
      </c>
      <c r="H743" s="20"/>
      <c r="I743" s="20"/>
      <c r="J743" s="20"/>
      <c r="K743" s="20"/>
    </row>
    <row r="744" spans="1:11" ht="19.5" customHeight="1" x14ac:dyDescent="0.3">
      <c r="A744" s="22">
        <v>46045.617020555554</v>
      </c>
      <c r="B744" s="25">
        <v>73.8</v>
      </c>
      <c r="C744" s="20">
        <v>80</v>
      </c>
      <c r="D744" s="20">
        <v>75.44</v>
      </c>
      <c r="E744" s="20">
        <v>4.5599999999999996</v>
      </c>
      <c r="F744" s="20">
        <v>-7.0000000000000007E-2</v>
      </c>
      <c r="G744" s="20">
        <v>2550</v>
      </c>
      <c r="H744" s="20"/>
      <c r="I744" s="20"/>
      <c r="J744" s="20"/>
      <c r="K744" s="20"/>
    </row>
    <row r="745" spans="1:11" ht="19.5" customHeight="1" x14ac:dyDescent="0.3">
      <c r="A745" s="22">
        <v>46045.617021712962</v>
      </c>
      <c r="B745" s="20">
        <v>73.900000000000006</v>
      </c>
      <c r="C745" s="20">
        <v>80</v>
      </c>
      <c r="D745" s="20">
        <v>75.569999999999993</v>
      </c>
      <c r="E745" s="20">
        <v>4.43</v>
      </c>
      <c r="F745" s="20">
        <v>-0.12</v>
      </c>
      <c r="G745" s="20">
        <v>2550</v>
      </c>
      <c r="H745" s="20"/>
      <c r="I745" s="20"/>
      <c r="J745" s="20"/>
      <c r="K745" s="20"/>
    </row>
    <row r="746" spans="1:11" ht="19.5" customHeight="1" x14ac:dyDescent="0.3">
      <c r="A746" s="22">
        <v>46045.617022858794</v>
      </c>
      <c r="B746" s="25">
        <v>74</v>
      </c>
      <c r="C746" s="20">
        <v>80</v>
      </c>
      <c r="D746" s="20">
        <v>75.62</v>
      </c>
      <c r="E746" s="20">
        <v>4.38</v>
      </c>
      <c r="F746" s="20">
        <v>-0.06</v>
      </c>
      <c r="G746" s="20">
        <v>2550</v>
      </c>
      <c r="H746" s="20"/>
      <c r="I746" s="20"/>
      <c r="J746" s="20"/>
      <c r="K746" s="20"/>
    </row>
    <row r="747" spans="1:11" ht="19.5" customHeight="1" x14ac:dyDescent="0.3">
      <c r="A747" s="22">
        <v>46045.617024016203</v>
      </c>
      <c r="B747" s="20">
        <v>74.099999999999994</v>
      </c>
      <c r="C747" s="20">
        <v>80</v>
      </c>
      <c r="D747" s="20">
        <v>75.709999999999994</v>
      </c>
      <c r="E747" s="20">
        <v>4.29</v>
      </c>
      <c r="F747" s="20">
        <v>-0.09</v>
      </c>
      <c r="G747" s="20">
        <v>2550</v>
      </c>
      <c r="H747" s="20"/>
      <c r="I747" s="20"/>
      <c r="J747" s="20"/>
      <c r="K747" s="20"/>
    </row>
    <row r="748" spans="1:11" ht="19.5" customHeight="1" x14ac:dyDescent="0.3">
      <c r="A748" s="22">
        <v>46045.617025185187</v>
      </c>
      <c r="B748" s="25">
        <v>74.2</v>
      </c>
      <c r="C748" s="20">
        <v>80</v>
      </c>
      <c r="D748" s="20">
        <v>75.790000000000006</v>
      </c>
      <c r="E748" s="20">
        <v>4.21</v>
      </c>
      <c r="F748" s="20">
        <v>-0.08</v>
      </c>
      <c r="G748" s="20">
        <v>2550</v>
      </c>
      <c r="H748" s="20"/>
      <c r="I748" s="20"/>
      <c r="J748" s="20"/>
      <c r="K748" s="20"/>
    </row>
    <row r="749" spans="1:11" ht="19.5" customHeight="1" x14ac:dyDescent="0.3">
      <c r="A749" s="22">
        <v>46045.61702633102</v>
      </c>
      <c r="B749" s="25">
        <v>74.3</v>
      </c>
      <c r="C749" s="20">
        <v>80</v>
      </c>
      <c r="D749" s="20">
        <v>75.89</v>
      </c>
      <c r="E749" s="20">
        <v>4.1100000000000003</v>
      </c>
      <c r="F749" s="20">
        <v>-0.1</v>
      </c>
      <c r="G749" s="20">
        <v>2550</v>
      </c>
      <c r="H749" s="20"/>
      <c r="I749" s="20"/>
      <c r="J749" s="20"/>
      <c r="K749" s="20"/>
    </row>
    <row r="750" spans="1:11" ht="19.5" customHeight="1" x14ac:dyDescent="0.3">
      <c r="A750" s="22">
        <v>46045.617027499997</v>
      </c>
      <c r="B750" s="20">
        <v>74.400000000000006</v>
      </c>
      <c r="C750" s="20">
        <v>80</v>
      </c>
      <c r="D750" s="20">
        <v>75.98</v>
      </c>
      <c r="E750" s="20">
        <v>4.0199999999999996</v>
      </c>
      <c r="F750" s="20">
        <v>-0.09</v>
      </c>
      <c r="G750" s="20">
        <v>2550</v>
      </c>
      <c r="H750" s="20"/>
      <c r="I750" s="20"/>
      <c r="J750" s="20"/>
      <c r="K750" s="20"/>
    </row>
    <row r="751" spans="1:11" ht="19.5" customHeight="1" x14ac:dyDescent="0.3">
      <c r="A751" s="22">
        <v>46045.617028645836</v>
      </c>
      <c r="B751" s="25">
        <v>74.5</v>
      </c>
      <c r="C751" s="20">
        <v>80</v>
      </c>
      <c r="D751" s="20">
        <v>76.06</v>
      </c>
      <c r="E751" s="20">
        <v>3.94</v>
      </c>
      <c r="F751" s="20">
        <v>-0.08</v>
      </c>
      <c r="G751" s="20">
        <v>2550</v>
      </c>
      <c r="H751" s="20"/>
      <c r="I751" s="20"/>
      <c r="J751" s="20"/>
      <c r="K751" s="20"/>
    </row>
    <row r="752" spans="1:11" ht="19.5" customHeight="1" x14ac:dyDescent="0.3">
      <c r="A752" s="22">
        <v>46045.617029803238</v>
      </c>
      <c r="B752" s="20">
        <v>74.599999999999994</v>
      </c>
      <c r="C752" s="20">
        <v>80</v>
      </c>
      <c r="D752" s="20">
        <v>76.12</v>
      </c>
      <c r="E752" s="20">
        <v>3.88</v>
      </c>
      <c r="F752" s="20">
        <v>-0.06</v>
      </c>
      <c r="G752" s="20">
        <v>2550</v>
      </c>
      <c r="H752" s="20"/>
      <c r="I752" s="20"/>
      <c r="J752" s="20"/>
      <c r="K752" s="20"/>
    </row>
    <row r="753" spans="1:11" ht="19.5" customHeight="1" x14ac:dyDescent="0.3">
      <c r="A753" s="22">
        <v>46045.617030972222</v>
      </c>
      <c r="B753" s="25">
        <v>74.7</v>
      </c>
      <c r="C753" s="20">
        <v>80</v>
      </c>
      <c r="D753" s="20">
        <v>76.209999999999994</v>
      </c>
      <c r="E753" s="20">
        <v>3.79</v>
      </c>
      <c r="F753" s="20">
        <v>-0.09</v>
      </c>
      <c r="G753" s="20">
        <v>2550</v>
      </c>
      <c r="H753" s="20"/>
      <c r="I753" s="20"/>
      <c r="J753" s="20"/>
      <c r="K753" s="20"/>
    </row>
    <row r="754" spans="1:11" ht="19.5" customHeight="1" x14ac:dyDescent="0.3">
      <c r="A754" s="22">
        <v>46045.617032118054</v>
      </c>
      <c r="B754" s="25">
        <v>74.8</v>
      </c>
      <c r="C754" s="20">
        <v>80</v>
      </c>
      <c r="D754" s="20">
        <v>76.31</v>
      </c>
      <c r="E754" s="20">
        <v>3.69</v>
      </c>
      <c r="F754" s="20">
        <v>-0.1</v>
      </c>
      <c r="G754" s="20">
        <v>2550</v>
      </c>
      <c r="H754" s="20"/>
      <c r="I754" s="20"/>
      <c r="J754" s="20"/>
      <c r="K754" s="20"/>
    </row>
    <row r="755" spans="1:11" ht="19.5" customHeight="1" x14ac:dyDescent="0.3">
      <c r="A755" s="22">
        <v>46045.617033275463</v>
      </c>
      <c r="B755" s="20">
        <v>74.900000000000006</v>
      </c>
      <c r="C755" s="20">
        <v>80</v>
      </c>
      <c r="D755" s="20">
        <v>76.34</v>
      </c>
      <c r="E755" s="20">
        <v>3.66</v>
      </c>
      <c r="F755" s="20">
        <v>-0.03</v>
      </c>
      <c r="G755" s="20">
        <v>2550</v>
      </c>
      <c r="H755" s="20"/>
      <c r="I755" s="20"/>
      <c r="J755" s="20"/>
      <c r="K755" s="20"/>
    </row>
    <row r="756" spans="1:11" ht="19.5" customHeight="1" x14ac:dyDescent="0.3">
      <c r="A756" s="22">
        <v>46045.617034432871</v>
      </c>
      <c r="B756" s="25">
        <v>75</v>
      </c>
      <c r="C756" s="20">
        <v>80</v>
      </c>
      <c r="D756" s="20">
        <v>76.44</v>
      </c>
      <c r="E756" s="20">
        <v>3.56</v>
      </c>
      <c r="F756" s="20">
        <v>-0.1</v>
      </c>
      <c r="G756" s="20">
        <v>2550</v>
      </c>
      <c r="H756" s="20"/>
      <c r="I756" s="20"/>
      <c r="J756" s="20"/>
      <c r="K756" s="20"/>
    </row>
    <row r="757" spans="1:11" ht="19.5" customHeight="1" x14ac:dyDescent="0.3">
      <c r="A757" s="22">
        <v>46045.61703559028</v>
      </c>
      <c r="B757" s="20">
        <v>75.099999999999994</v>
      </c>
      <c r="C757" s="20">
        <v>80</v>
      </c>
      <c r="D757" s="20">
        <v>76.489999999999995</v>
      </c>
      <c r="E757" s="20">
        <v>3.51</v>
      </c>
      <c r="F757" s="20">
        <v>-0.05</v>
      </c>
      <c r="G757" s="20">
        <v>2550</v>
      </c>
      <c r="H757" s="20"/>
      <c r="I757" s="20"/>
      <c r="J757" s="20"/>
      <c r="K757" s="20"/>
    </row>
    <row r="758" spans="1:11" ht="19.5" customHeight="1" x14ac:dyDescent="0.3">
      <c r="A758" s="22">
        <v>46045.617036747688</v>
      </c>
      <c r="B758" s="25">
        <v>75.2</v>
      </c>
      <c r="C758" s="20">
        <v>80</v>
      </c>
      <c r="D758" s="20">
        <v>76.599999999999994</v>
      </c>
      <c r="E758" s="20">
        <v>3.4</v>
      </c>
      <c r="F758" s="20">
        <v>-0.11</v>
      </c>
      <c r="G758" s="20">
        <v>2550</v>
      </c>
      <c r="H758" s="20"/>
      <c r="I758" s="20"/>
      <c r="J758" s="20"/>
      <c r="K758" s="20"/>
    </row>
    <row r="759" spans="1:11" ht="19.5" customHeight="1" x14ac:dyDescent="0.3">
      <c r="A759" s="22">
        <v>46045.617037916665</v>
      </c>
      <c r="B759" s="25">
        <v>75.3</v>
      </c>
      <c r="C759" s="20">
        <v>80</v>
      </c>
      <c r="D759" s="20">
        <v>76.680000000000007</v>
      </c>
      <c r="E759" s="20">
        <v>3.32</v>
      </c>
      <c r="F759" s="20">
        <v>-7.0000000000000007E-2</v>
      </c>
      <c r="G759" s="20">
        <v>2550</v>
      </c>
      <c r="H759" s="20"/>
      <c r="I759" s="20"/>
      <c r="J759" s="20"/>
      <c r="K759" s="20"/>
    </row>
    <row r="760" spans="1:11" ht="19.5" customHeight="1" x14ac:dyDescent="0.3">
      <c r="A760" s="22">
        <v>46045.617039062497</v>
      </c>
      <c r="B760" s="20">
        <v>75.400000000000006</v>
      </c>
      <c r="C760" s="20">
        <v>80</v>
      </c>
      <c r="D760" s="20">
        <v>76.69</v>
      </c>
      <c r="E760" s="20">
        <v>3.31</v>
      </c>
      <c r="F760" s="20">
        <v>-0.01</v>
      </c>
      <c r="G760" s="20">
        <v>2550</v>
      </c>
      <c r="H760" s="20"/>
      <c r="I760" s="20"/>
      <c r="J760" s="20"/>
      <c r="K760" s="20"/>
    </row>
    <row r="761" spans="1:11" ht="19.5" customHeight="1" x14ac:dyDescent="0.3">
      <c r="A761" s="22">
        <v>46045.617040231482</v>
      </c>
      <c r="B761" s="25">
        <v>75.5</v>
      </c>
      <c r="C761" s="20">
        <v>80</v>
      </c>
      <c r="D761" s="20">
        <v>76.83</v>
      </c>
      <c r="E761" s="20">
        <v>3.17</v>
      </c>
      <c r="F761" s="20">
        <v>-0.14000000000000001</v>
      </c>
      <c r="G761" s="20">
        <v>2550</v>
      </c>
      <c r="H761" s="20"/>
      <c r="I761" s="20"/>
      <c r="J761" s="20"/>
      <c r="K761" s="20"/>
    </row>
    <row r="762" spans="1:11" ht="19.5" customHeight="1" x14ac:dyDescent="0.3">
      <c r="A762" s="22">
        <v>46045.61704138889</v>
      </c>
      <c r="B762" s="20">
        <v>75.599999999999994</v>
      </c>
      <c r="C762" s="20">
        <v>80</v>
      </c>
      <c r="D762" s="20">
        <v>76.89</v>
      </c>
      <c r="E762" s="20">
        <v>3.11</v>
      </c>
      <c r="F762" s="20">
        <v>-0.06</v>
      </c>
      <c r="G762" s="20">
        <v>2550</v>
      </c>
      <c r="H762" s="20"/>
      <c r="I762" s="20"/>
      <c r="J762" s="20"/>
      <c r="K762" s="20"/>
    </row>
    <row r="763" spans="1:11" ht="19.5" customHeight="1" x14ac:dyDescent="0.3">
      <c r="A763" s="22">
        <v>46045.617042534723</v>
      </c>
      <c r="B763" s="25">
        <v>75.7</v>
      </c>
      <c r="C763" s="20">
        <v>80</v>
      </c>
      <c r="D763" s="20">
        <v>76.959999999999994</v>
      </c>
      <c r="E763" s="20">
        <v>3.04</v>
      </c>
      <c r="F763" s="20">
        <v>-0.06</v>
      </c>
      <c r="G763" s="20">
        <v>2550</v>
      </c>
      <c r="H763" s="20"/>
      <c r="I763" s="20"/>
      <c r="J763" s="20"/>
      <c r="K763" s="20"/>
    </row>
    <row r="764" spans="1:11" ht="19.5" customHeight="1" x14ac:dyDescent="0.3">
      <c r="A764" s="22">
        <v>46045.617043692131</v>
      </c>
      <c r="B764" s="25">
        <v>75.8</v>
      </c>
      <c r="C764" s="20">
        <v>80</v>
      </c>
      <c r="D764" s="20">
        <v>77.02</v>
      </c>
      <c r="E764" s="20">
        <v>2.98</v>
      </c>
      <c r="F764" s="20">
        <v>-7.0000000000000007E-2</v>
      </c>
      <c r="G764" s="20">
        <v>2579.8000000000002</v>
      </c>
      <c r="H764" s="20"/>
      <c r="I764" s="20"/>
      <c r="J764" s="20"/>
      <c r="K764" s="20"/>
    </row>
    <row r="765" spans="1:11" ht="19.5" customHeight="1" x14ac:dyDescent="0.3">
      <c r="A765" s="22">
        <v>46045.617044861108</v>
      </c>
      <c r="B765" s="20">
        <v>75.900000000000006</v>
      </c>
      <c r="C765" s="20">
        <v>80</v>
      </c>
      <c r="D765" s="20">
        <v>77.12</v>
      </c>
      <c r="E765" s="20">
        <v>2.88</v>
      </c>
      <c r="F765" s="20">
        <v>-0.1</v>
      </c>
      <c r="G765" s="20">
        <v>2692.82</v>
      </c>
      <c r="H765" s="20"/>
      <c r="I765" s="20"/>
      <c r="J765" s="20"/>
      <c r="K765" s="20"/>
    </row>
    <row r="766" spans="1:11" ht="19.5" customHeight="1" x14ac:dyDescent="0.3">
      <c r="A766" s="22">
        <v>46045.617046018517</v>
      </c>
      <c r="B766" s="25">
        <v>76</v>
      </c>
      <c r="C766" s="20">
        <v>80</v>
      </c>
      <c r="D766" s="20">
        <v>77.16</v>
      </c>
      <c r="E766" s="20">
        <v>2.84</v>
      </c>
      <c r="F766" s="20">
        <v>-0.04</v>
      </c>
      <c r="G766" s="20">
        <v>2630.6</v>
      </c>
      <c r="H766" s="20"/>
      <c r="I766" s="20"/>
      <c r="J766" s="20"/>
      <c r="K766" s="20"/>
    </row>
    <row r="767" spans="1:11" ht="19.5" customHeight="1" x14ac:dyDescent="0.3">
      <c r="A767" s="22">
        <v>46045.617047175925</v>
      </c>
      <c r="B767" s="20">
        <v>76.099999999999994</v>
      </c>
      <c r="C767" s="20">
        <v>80</v>
      </c>
      <c r="D767" s="20">
        <v>77.27</v>
      </c>
      <c r="E767" s="20">
        <v>2.73</v>
      </c>
      <c r="F767" s="20">
        <v>-0.11</v>
      </c>
      <c r="G767" s="20">
        <v>2767.12</v>
      </c>
      <c r="H767" s="20"/>
      <c r="I767" s="20"/>
      <c r="J767" s="20"/>
      <c r="K767" s="20"/>
    </row>
    <row r="768" spans="1:11" ht="19.5" customHeight="1" x14ac:dyDescent="0.3">
      <c r="A768" s="22">
        <v>46045.617048333334</v>
      </c>
      <c r="B768" s="25">
        <v>76.2</v>
      </c>
      <c r="C768" s="20">
        <v>80</v>
      </c>
      <c r="D768" s="20">
        <v>77.33</v>
      </c>
      <c r="E768" s="20">
        <v>2.67</v>
      </c>
      <c r="F768" s="20">
        <v>-0.06</v>
      </c>
      <c r="G768" s="20">
        <v>2674.43</v>
      </c>
      <c r="H768" s="20"/>
      <c r="I768" s="20"/>
      <c r="J768" s="20"/>
      <c r="K768" s="20"/>
    </row>
    <row r="769" spans="1:11" ht="19.5" customHeight="1" x14ac:dyDescent="0.3">
      <c r="A769" s="22">
        <v>46045.617049490742</v>
      </c>
      <c r="B769" s="25">
        <v>76.3</v>
      </c>
      <c r="C769" s="20">
        <v>80</v>
      </c>
      <c r="D769" s="20">
        <v>77.41</v>
      </c>
      <c r="E769" s="20">
        <v>2.59</v>
      </c>
      <c r="F769" s="20">
        <v>-0.08</v>
      </c>
      <c r="G769" s="20">
        <v>2723.59</v>
      </c>
      <c r="H769" s="20"/>
      <c r="I769" s="20"/>
      <c r="J769" s="20"/>
      <c r="K769" s="20"/>
    </row>
    <row r="770" spans="1:11" ht="19.5" customHeight="1" x14ac:dyDescent="0.3">
      <c r="A770" s="22">
        <v>46045.61705064815</v>
      </c>
      <c r="B770" s="20">
        <v>76.400000000000006</v>
      </c>
      <c r="C770" s="20">
        <v>80</v>
      </c>
      <c r="D770" s="20">
        <v>77.45</v>
      </c>
      <c r="E770" s="20">
        <v>2.5499999999999998</v>
      </c>
      <c r="F770" s="20">
        <v>-0.04</v>
      </c>
      <c r="G770" s="20">
        <v>2645.63</v>
      </c>
      <c r="H770" s="20"/>
      <c r="I770" s="20"/>
      <c r="J770" s="20"/>
      <c r="K770" s="20"/>
    </row>
    <row r="771" spans="1:11" ht="19.5" customHeight="1" x14ac:dyDescent="0.3">
      <c r="A771" s="22">
        <v>46045.617051805559</v>
      </c>
      <c r="B771" s="25">
        <v>76.5</v>
      </c>
      <c r="C771" s="20">
        <v>80</v>
      </c>
      <c r="D771" s="20">
        <v>77.540000000000006</v>
      </c>
      <c r="E771" s="20">
        <v>2.46</v>
      </c>
      <c r="F771" s="20">
        <v>-0.1</v>
      </c>
      <c r="G771" s="20">
        <v>2762.56</v>
      </c>
      <c r="H771" s="20"/>
      <c r="I771" s="20"/>
      <c r="J771" s="20"/>
      <c r="K771" s="20"/>
    </row>
    <row r="772" spans="1:11" ht="19.5" customHeight="1" x14ac:dyDescent="0.3">
      <c r="A772" s="22">
        <v>46045.617052951391</v>
      </c>
      <c r="B772" s="25">
        <v>76.599999999999994</v>
      </c>
      <c r="C772" s="20">
        <v>80</v>
      </c>
      <c r="D772" s="20">
        <v>77.63</v>
      </c>
      <c r="E772" s="20">
        <v>2.37</v>
      </c>
      <c r="F772" s="20">
        <v>-0.08</v>
      </c>
      <c r="G772" s="20">
        <v>2748.86</v>
      </c>
      <c r="H772" s="20"/>
      <c r="I772" s="20"/>
      <c r="J772" s="20"/>
      <c r="K772" s="20"/>
    </row>
    <row r="773" spans="1:11" ht="19.5" customHeight="1" x14ac:dyDescent="0.3">
      <c r="A773" s="22">
        <v>46045.617054131944</v>
      </c>
      <c r="B773" s="20">
        <v>76.7</v>
      </c>
      <c r="C773" s="20">
        <v>80</v>
      </c>
      <c r="D773" s="20">
        <v>77.66</v>
      </c>
      <c r="E773" s="20">
        <v>2.34</v>
      </c>
      <c r="F773" s="20">
        <v>-0.04</v>
      </c>
      <c r="G773" s="20">
        <v>2647.34</v>
      </c>
      <c r="H773" s="20"/>
      <c r="I773" s="20"/>
      <c r="J773" s="20"/>
      <c r="K773" s="20"/>
    </row>
    <row r="774" spans="1:11" ht="19.5" customHeight="1" x14ac:dyDescent="0.3">
      <c r="A774" s="22">
        <v>46045.617055277777</v>
      </c>
      <c r="B774" s="25">
        <v>76.8</v>
      </c>
      <c r="C774" s="20">
        <v>80</v>
      </c>
      <c r="D774" s="20">
        <v>77.75</v>
      </c>
      <c r="E774" s="20">
        <v>2.25</v>
      </c>
      <c r="F774" s="20">
        <v>-0.08</v>
      </c>
      <c r="G774" s="20">
        <v>2764.39</v>
      </c>
      <c r="H774" s="20"/>
      <c r="I774" s="20"/>
      <c r="J774" s="20"/>
      <c r="K774" s="20"/>
    </row>
    <row r="775" spans="1:11" ht="19.5" customHeight="1" x14ac:dyDescent="0.3">
      <c r="A775" s="22">
        <v>46045.617056446761</v>
      </c>
      <c r="B775" s="20">
        <v>76.900000000000006</v>
      </c>
      <c r="C775" s="20">
        <v>80</v>
      </c>
      <c r="D775" s="20">
        <v>77.849999999999994</v>
      </c>
      <c r="E775" s="20">
        <v>2.15</v>
      </c>
      <c r="F775" s="20">
        <v>-0.1</v>
      </c>
      <c r="G775" s="20">
        <v>2781.41</v>
      </c>
      <c r="H775" s="20"/>
      <c r="I775" s="20"/>
      <c r="J775" s="20"/>
      <c r="K775" s="20"/>
    </row>
    <row r="776" spans="1:11" ht="19.5" customHeight="1" x14ac:dyDescent="0.3">
      <c r="A776" s="22">
        <v>46045.617057592593</v>
      </c>
      <c r="B776" s="25">
        <v>77</v>
      </c>
      <c r="C776" s="20">
        <v>80</v>
      </c>
      <c r="D776" s="20">
        <v>77.95</v>
      </c>
      <c r="E776" s="20">
        <v>2.0499999999999998</v>
      </c>
      <c r="F776" s="20">
        <v>-0.1</v>
      </c>
      <c r="G776" s="20">
        <v>2763.45</v>
      </c>
      <c r="H776" s="20"/>
      <c r="I776" s="20"/>
      <c r="J776" s="20"/>
      <c r="K776" s="20"/>
    </row>
    <row r="777" spans="1:11" ht="19.5" customHeight="1" x14ac:dyDescent="0.3">
      <c r="A777" s="22">
        <v>46045.617058750002</v>
      </c>
      <c r="B777" s="25">
        <v>77.099999999999994</v>
      </c>
      <c r="C777" s="20">
        <v>80</v>
      </c>
      <c r="D777" s="20">
        <v>78.02</v>
      </c>
      <c r="E777" s="20">
        <v>1.98</v>
      </c>
      <c r="F777" s="20">
        <v>-7.0000000000000007E-2</v>
      </c>
      <c r="G777" s="20">
        <v>2713.13</v>
      </c>
      <c r="H777" s="20"/>
      <c r="I777" s="20"/>
      <c r="J777" s="20"/>
      <c r="K777" s="20"/>
    </row>
    <row r="778" spans="1:11" ht="19.5" customHeight="1" x14ac:dyDescent="0.3">
      <c r="A778" s="22">
        <v>46045.61705990741</v>
      </c>
      <c r="B778" s="20">
        <v>77.2</v>
      </c>
      <c r="C778" s="20">
        <v>80</v>
      </c>
      <c r="D778" s="20">
        <v>78.099999999999994</v>
      </c>
      <c r="E778" s="20">
        <v>1.9</v>
      </c>
      <c r="F778" s="20">
        <v>-0.08</v>
      </c>
      <c r="G778" s="20">
        <v>2723.23</v>
      </c>
      <c r="H778" s="20"/>
      <c r="I778" s="20"/>
      <c r="J778" s="20"/>
      <c r="K778" s="20"/>
    </row>
    <row r="779" spans="1:11" ht="19.5" customHeight="1" x14ac:dyDescent="0.3">
      <c r="A779" s="22">
        <v>46045.617061064811</v>
      </c>
      <c r="B779" s="25">
        <v>77.3</v>
      </c>
      <c r="C779" s="20">
        <v>80</v>
      </c>
      <c r="D779" s="20">
        <v>78.14</v>
      </c>
      <c r="E779" s="20">
        <v>1.86</v>
      </c>
      <c r="F779" s="20">
        <v>-0.04</v>
      </c>
      <c r="G779" s="20">
        <v>2642.8</v>
      </c>
      <c r="H779" s="20"/>
      <c r="I779" s="20"/>
      <c r="J779" s="20"/>
      <c r="K779" s="20"/>
    </row>
    <row r="780" spans="1:11" ht="19.5" customHeight="1" x14ac:dyDescent="0.3">
      <c r="A780" s="22">
        <v>46045.617062268517</v>
      </c>
      <c r="B780" s="20">
        <v>77.400000000000006</v>
      </c>
      <c r="C780" s="20">
        <v>80</v>
      </c>
      <c r="D780" s="20">
        <v>78.25</v>
      </c>
      <c r="E780" s="20">
        <v>1.75</v>
      </c>
      <c r="F780" s="20">
        <v>-0.11</v>
      </c>
      <c r="G780" s="20">
        <v>2767.08</v>
      </c>
      <c r="H780" s="20"/>
      <c r="I780" s="20"/>
      <c r="J780" s="20"/>
      <c r="K780" s="20"/>
    </row>
    <row r="781" spans="1:11" ht="19.5" customHeight="1" x14ac:dyDescent="0.3">
      <c r="A781" s="22">
        <v>46045.617063391204</v>
      </c>
      <c r="B781" s="25">
        <v>77.5</v>
      </c>
      <c r="C781" s="20">
        <v>80</v>
      </c>
      <c r="D781" s="20">
        <v>78.37</v>
      </c>
      <c r="E781" s="20">
        <v>1.63</v>
      </c>
      <c r="F781" s="20">
        <v>-0.12</v>
      </c>
      <c r="G781" s="20">
        <v>2794.95</v>
      </c>
      <c r="H781" s="20"/>
      <c r="I781" s="20"/>
      <c r="J781" s="20"/>
      <c r="K781" s="20"/>
    </row>
    <row r="782" spans="1:11" ht="19.5" customHeight="1" x14ac:dyDescent="0.3">
      <c r="A782" s="22">
        <v>46045.617064537037</v>
      </c>
      <c r="B782" s="25">
        <v>77.599999999999994</v>
      </c>
      <c r="C782" s="20">
        <v>80</v>
      </c>
      <c r="D782" s="20">
        <v>78.430000000000007</v>
      </c>
      <c r="E782" s="20">
        <v>1.57</v>
      </c>
      <c r="F782" s="20">
        <v>-0.06</v>
      </c>
      <c r="G782" s="20">
        <v>2670.64</v>
      </c>
      <c r="H782" s="20"/>
      <c r="I782" s="20"/>
      <c r="J782" s="20"/>
      <c r="K782" s="20"/>
    </row>
    <row r="783" spans="1:11" ht="19.5" customHeight="1" x14ac:dyDescent="0.3">
      <c r="A783" s="22">
        <v>46045.617065694445</v>
      </c>
      <c r="B783" s="20">
        <v>77.7</v>
      </c>
      <c r="C783" s="20">
        <v>80</v>
      </c>
      <c r="D783" s="20">
        <v>78.540000000000006</v>
      </c>
      <c r="E783" s="20">
        <v>1.46</v>
      </c>
      <c r="F783" s="20">
        <v>-0.11</v>
      </c>
      <c r="G783" s="20">
        <v>2767.12</v>
      </c>
      <c r="H783" s="20"/>
      <c r="I783" s="20"/>
      <c r="J783" s="20"/>
      <c r="K783" s="20"/>
    </row>
    <row r="784" spans="1:11" ht="19.5" customHeight="1" x14ac:dyDescent="0.3">
      <c r="A784" s="22">
        <v>46045.617066840277</v>
      </c>
      <c r="B784" s="25">
        <v>77.8</v>
      </c>
      <c r="C784" s="20">
        <v>80</v>
      </c>
      <c r="D784" s="20">
        <v>78.62</v>
      </c>
      <c r="E784" s="20">
        <v>1.38</v>
      </c>
      <c r="F784" s="20">
        <v>-0.08</v>
      </c>
      <c r="G784" s="20">
        <v>2723.83</v>
      </c>
      <c r="H784" s="20"/>
      <c r="I784" s="20"/>
      <c r="J784" s="20"/>
      <c r="K784" s="20"/>
    </row>
    <row r="785" spans="1:11" ht="19.5" customHeight="1" x14ac:dyDescent="0.3">
      <c r="A785" s="22">
        <v>46045.617068009262</v>
      </c>
      <c r="B785" s="20">
        <v>77.900000000000006</v>
      </c>
      <c r="C785" s="20">
        <v>80</v>
      </c>
      <c r="D785" s="20">
        <v>78.709999999999994</v>
      </c>
      <c r="E785" s="20">
        <v>1.29</v>
      </c>
      <c r="F785" s="20">
        <v>-0.08</v>
      </c>
      <c r="G785" s="20">
        <v>2723.87</v>
      </c>
      <c r="H785" s="20"/>
      <c r="I785" s="20"/>
      <c r="J785" s="20"/>
      <c r="K785" s="20"/>
    </row>
    <row r="786" spans="1:11" ht="19.5" customHeight="1" x14ac:dyDescent="0.3">
      <c r="A786" s="22">
        <v>46045.61706916667</v>
      </c>
      <c r="B786" s="25">
        <v>78</v>
      </c>
      <c r="C786" s="20">
        <v>80</v>
      </c>
      <c r="D786" s="20">
        <v>78.78</v>
      </c>
      <c r="E786" s="20">
        <v>1.22</v>
      </c>
      <c r="F786" s="20">
        <v>-7.0000000000000007E-2</v>
      </c>
      <c r="G786" s="20">
        <v>2703.41</v>
      </c>
      <c r="H786" s="20"/>
      <c r="I786" s="20"/>
      <c r="J786" s="20"/>
      <c r="K786" s="20"/>
    </row>
    <row r="787" spans="1:11" ht="19.5" customHeight="1" x14ac:dyDescent="0.3">
      <c r="A787" s="22">
        <v>46045.617070324071</v>
      </c>
      <c r="B787" s="25">
        <v>78.099999999999994</v>
      </c>
      <c r="C787" s="20">
        <v>80</v>
      </c>
      <c r="D787" s="20">
        <v>78.930000000000007</v>
      </c>
      <c r="E787" s="20">
        <v>1.07</v>
      </c>
      <c r="F787" s="20">
        <v>-0.15</v>
      </c>
      <c r="G787" s="20">
        <v>2835.8</v>
      </c>
      <c r="H787" s="20"/>
      <c r="I787" s="20"/>
      <c r="J787" s="20"/>
      <c r="K787" s="20"/>
    </row>
    <row r="788" spans="1:11" ht="19.5" customHeight="1" x14ac:dyDescent="0.3">
      <c r="A788" s="22">
        <v>46045.61707148148</v>
      </c>
      <c r="B788" s="20">
        <v>78.2</v>
      </c>
      <c r="C788" s="20">
        <v>80</v>
      </c>
      <c r="D788" s="20">
        <v>78.989999999999995</v>
      </c>
      <c r="E788" s="20">
        <v>1.01</v>
      </c>
      <c r="F788" s="20">
        <v>-0.06</v>
      </c>
      <c r="G788" s="20">
        <v>2698.26</v>
      </c>
      <c r="H788" s="20"/>
      <c r="I788" s="20"/>
      <c r="J788" s="20"/>
      <c r="K788" s="20"/>
    </row>
    <row r="789" spans="1:11" ht="19.5" customHeight="1" x14ac:dyDescent="0.3">
      <c r="A789" s="22">
        <v>46045.61707266204</v>
      </c>
      <c r="B789" s="25">
        <v>78.3</v>
      </c>
      <c r="C789" s="20">
        <v>80</v>
      </c>
      <c r="D789" s="20">
        <v>79.09</v>
      </c>
      <c r="E789" s="20">
        <v>0.91</v>
      </c>
      <c r="F789" s="20">
        <v>-0.1</v>
      </c>
      <c r="G789" s="20">
        <v>2774.84</v>
      </c>
      <c r="H789" s="20"/>
      <c r="I789" s="20"/>
      <c r="J789" s="20"/>
      <c r="K789" s="20"/>
    </row>
    <row r="790" spans="1:11" ht="19.5" customHeight="1" x14ac:dyDescent="0.3">
      <c r="A790" s="22">
        <v>46045.617073796297</v>
      </c>
      <c r="B790" s="20">
        <v>78.400000000000006</v>
      </c>
      <c r="C790" s="20">
        <v>80</v>
      </c>
      <c r="D790" s="20">
        <v>79.180000000000007</v>
      </c>
      <c r="E790" s="20">
        <v>0.82</v>
      </c>
      <c r="F790" s="20">
        <v>-0.09</v>
      </c>
      <c r="G790" s="20">
        <v>2763.18</v>
      </c>
      <c r="H790" s="20"/>
      <c r="I790" s="20"/>
      <c r="J790" s="20"/>
      <c r="K790" s="20"/>
    </row>
    <row r="791" spans="1:11" ht="19.5" customHeight="1" x14ac:dyDescent="0.3">
      <c r="A791" s="22">
        <v>46045.617074953705</v>
      </c>
      <c r="B791" s="25">
        <v>78.5</v>
      </c>
      <c r="C791" s="20">
        <v>80</v>
      </c>
      <c r="D791" s="20">
        <v>79.239999999999995</v>
      </c>
      <c r="E791" s="20">
        <v>0.76</v>
      </c>
      <c r="F791" s="20">
        <v>-0.05</v>
      </c>
      <c r="G791" s="20">
        <v>2692.1</v>
      </c>
      <c r="H791" s="20"/>
      <c r="I791" s="20"/>
      <c r="J791" s="20"/>
      <c r="K791" s="20"/>
    </row>
    <row r="792" spans="1:11" ht="19.5" customHeight="1" x14ac:dyDescent="0.3">
      <c r="A792" s="22">
        <v>46045.617076111113</v>
      </c>
      <c r="B792" s="25">
        <v>78.599999999999994</v>
      </c>
      <c r="C792" s="20">
        <v>80</v>
      </c>
      <c r="D792" s="20">
        <v>79.349999999999994</v>
      </c>
      <c r="E792" s="20">
        <v>0.65</v>
      </c>
      <c r="F792" s="20">
        <v>-0.11</v>
      </c>
      <c r="G792" s="20">
        <v>2838.03</v>
      </c>
      <c r="H792" s="20"/>
      <c r="I792" s="20"/>
      <c r="J792" s="20"/>
      <c r="K792" s="20"/>
    </row>
    <row r="793" spans="1:11" ht="19.5" customHeight="1" x14ac:dyDescent="0.3">
      <c r="A793" s="22">
        <v>46045.617077268522</v>
      </c>
      <c r="B793" s="20">
        <v>78.7</v>
      </c>
      <c r="C793" s="20">
        <v>80</v>
      </c>
      <c r="D793" s="20">
        <v>79.430000000000007</v>
      </c>
      <c r="E793" s="20">
        <v>0.56999999999999995</v>
      </c>
      <c r="F793" s="20">
        <v>-0.08</v>
      </c>
      <c r="G793" s="20">
        <v>2800.87</v>
      </c>
      <c r="H793" s="20"/>
      <c r="I793" s="20"/>
      <c r="J793" s="20"/>
      <c r="K793" s="20"/>
    </row>
    <row r="794" spans="1:11" ht="19.5" customHeight="1" x14ac:dyDescent="0.3">
      <c r="A794" s="22">
        <v>46045.617078425923</v>
      </c>
      <c r="B794" s="25">
        <v>78.8</v>
      </c>
      <c r="C794" s="20">
        <v>80</v>
      </c>
      <c r="D794" s="20">
        <v>79.489999999999995</v>
      </c>
      <c r="E794" s="20">
        <v>0.51</v>
      </c>
      <c r="F794" s="20">
        <v>-0.06</v>
      </c>
      <c r="G794" s="20">
        <v>2745.55</v>
      </c>
      <c r="H794" s="20"/>
      <c r="I794" s="20"/>
      <c r="J794" s="20"/>
      <c r="K794" s="20"/>
    </row>
    <row r="795" spans="1:11" ht="19.5" customHeight="1" x14ac:dyDescent="0.3">
      <c r="A795" s="22">
        <v>46045.617079583331</v>
      </c>
      <c r="B795" s="20">
        <v>78.900000000000006</v>
      </c>
      <c r="C795" s="20">
        <v>80</v>
      </c>
      <c r="D795" s="20">
        <v>79.62</v>
      </c>
      <c r="E795" s="20">
        <v>0.38</v>
      </c>
      <c r="F795" s="20">
        <v>-0.12</v>
      </c>
      <c r="G795" s="20">
        <v>2832.78</v>
      </c>
      <c r="H795" s="20"/>
      <c r="I795" s="20"/>
      <c r="J795" s="20"/>
      <c r="K795" s="20"/>
    </row>
    <row r="796" spans="1:11" ht="19.5" customHeight="1" x14ac:dyDescent="0.3">
      <c r="A796" s="22">
        <v>46045.61708074074</v>
      </c>
      <c r="B796" s="25">
        <v>79</v>
      </c>
      <c r="C796" s="20">
        <v>80</v>
      </c>
      <c r="D796" s="20">
        <v>79.72</v>
      </c>
      <c r="E796" s="20">
        <v>0.28000000000000003</v>
      </c>
      <c r="F796" s="20">
        <v>-0.1</v>
      </c>
      <c r="G796" s="20">
        <v>2774.1</v>
      </c>
      <c r="H796" s="20"/>
      <c r="I796" s="20"/>
      <c r="J796" s="20"/>
      <c r="K796" s="20"/>
    </row>
    <row r="797" spans="1:11" ht="19.5" customHeight="1" x14ac:dyDescent="0.3">
      <c r="A797" s="22">
        <v>46045.617081898148</v>
      </c>
      <c r="B797" s="25">
        <v>79.099999999999994</v>
      </c>
      <c r="C797" s="20">
        <v>80</v>
      </c>
      <c r="D797" s="20">
        <v>79.78</v>
      </c>
      <c r="E797" s="20">
        <v>0.22</v>
      </c>
      <c r="F797" s="20">
        <v>-0.06</v>
      </c>
      <c r="G797" s="20">
        <v>2685.56</v>
      </c>
      <c r="H797" s="20"/>
      <c r="I797" s="20"/>
      <c r="J797" s="20"/>
      <c r="K797" s="20"/>
    </row>
    <row r="798" spans="1:11" ht="19.5" customHeight="1" x14ac:dyDescent="0.3">
      <c r="A798" s="22">
        <v>46045.617083055557</v>
      </c>
      <c r="B798" s="20">
        <v>79.2</v>
      </c>
      <c r="C798" s="20">
        <v>80</v>
      </c>
      <c r="D798" s="20">
        <v>79.87</v>
      </c>
      <c r="E798" s="20">
        <v>0.13</v>
      </c>
      <c r="F798" s="20">
        <v>-0.08</v>
      </c>
      <c r="G798" s="20">
        <v>2698.13</v>
      </c>
      <c r="H798" s="20"/>
      <c r="I798" s="20"/>
      <c r="J798" s="20"/>
      <c r="K798" s="20"/>
    </row>
    <row r="799" spans="1:11" ht="19.5" customHeight="1" x14ac:dyDescent="0.3">
      <c r="A799" s="22">
        <v>46045.617084212965</v>
      </c>
      <c r="B799" s="25">
        <v>79.3</v>
      </c>
      <c r="C799" s="20">
        <v>80</v>
      </c>
      <c r="D799" s="20">
        <v>79.95</v>
      </c>
      <c r="E799" s="20">
        <v>0.05</v>
      </c>
      <c r="F799" s="20">
        <v>-0.08</v>
      </c>
      <c r="G799" s="20">
        <v>2616.7600000000002</v>
      </c>
      <c r="H799" s="20"/>
      <c r="I799" s="20"/>
      <c r="J799" s="20"/>
      <c r="K799" s="20"/>
    </row>
    <row r="800" spans="1:11" ht="19.5" customHeight="1" x14ac:dyDescent="0.3">
      <c r="A800" s="22">
        <v>46045.617085370373</v>
      </c>
      <c r="B800" s="20">
        <v>79.400000000000006</v>
      </c>
      <c r="C800" s="20">
        <v>80</v>
      </c>
      <c r="D800" s="20">
        <v>80.03</v>
      </c>
      <c r="E800" s="20">
        <v>-0.03</v>
      </c>
      <c r="F800" s="20">
        <v>-0.08</v>
      </c>
      <c r="G800" s="20">
        <v>2497.2800000000002</v>
      </c>
      <c r="H800" s="20"/>
      <c r="I800" s="20"/>
      <c r="J800" s="20"/>
      <c r="K800" s="20"/>
    </row>
    <row r="801" spans="1:11" ht="19.5" customHeight="1" x14ac:dyDescent="0.3">
      <c r="A801" s="22">
        <v>46045.617086539351</v>
      </c>
      <c r="B801" s="25">
        <v>79.5</v>
      </c>
      <c r="C801" s="20">
        <v>80</v>
      </c>
      <c r="D801" s="20">
        <v>80.180000000000007</v>
      </c>
      <c r="E801" s="20">
        <v>-0.18</v>
      </c>
      <c r="F801" s="20">
        <v>-0.15</v>
      </c>
      <c r="G801" s="20">
        <v>2251.13</v>
      </c>
      <c r="H801" s="20"/>
      <c r="I801" s="20"/>
      <c r="J801" s="20"/>
      <c r="K801" s="20"/>
    </row>
    <row r="802" spans="1:11" ht="19.5" customHeight="1" x14ac:dyDescent="0.3">
      <c r="A802" s="22">
        <v>46045.617087696759</v>
      </c>
      <c r="B802" s="25">
        <v>79.599999999999994</v>
      </c>
      <c r="C802" s="20">
        <v>80</v>
      </c>
      <c r="D802" s="20">
        <v>80.239999999999995</v>
      </c>
      <c r="E802" s="20">
        <v>-0.24</v>
      </c>
      <c r="F802" s="20">
        <v>-0.06</v>
      </c>
      <c r="G802" s="20">
        <v>2243.25</v>
      </c>
      <c r="H802" s="20"/>
      <c r="I802" s="20"/>
      <c r="J802" s="20"/>
      <c r="K802" s="20"/>
    </row>
    <row r="803" spans="1:11" ht="19.5" customHeight="1" x14ac:dyDescent="0.3">
      <c r="A803" s="22">
        <v>46045.617088831015</v>
      </c>
      <c r="B803" s="20">
        <v>79.7</v>
      </c>
      <c r="C803" s="20">
        <v>80</v>
      </c>
      <c r="D803" s="20">
        <v>80.319999999999993</v>
      </c>
      <c r="E803" s="20">
        <v>-0.32</v>
      </c>
      <c r="F803" s="20">
        <v>-0.08</v>
      </c>
      <c r="G803" s="20">
        <v>2128.34</v>
      </c>
      <c r="H803" s="20"/>
      <c r="I803" s="20"/>
      <c r="J803" s="20"/>
      <c r="K803" s="20"/>
    </row>
    <row r="804" spans="1:11" ht="19.5" customHeight="1" x14ac:dyDescent="0.3">
      <c r="A804" s="22">
        <v>46045.617090023145</v>
      </c>
      <c r="B804" s="25">
        <v>79.8</v>
      </c>
      <c r="C804" s="20">
        <v>80</v>
      </c>
      <c r="D804" s="20">
        <v>80.37</v>
      </c>
      <c r="E804" s="20">
        <v>-0.37</v>
      </c>
      <c r="F804" s="20">
        <v>-0.04</v>
      </c>
      <c r="G804" s="20">
        <v>2112.4899999999998</v>
      </c>
      <c r="H804" s="20"/>
      <c r="I804" s="20"/>
      <c r="J804" s="20"/>
      <c r="K804" s="20"/>
    </row>
    <row r="805" spans="1:11" ht="19.5" customHeight="1" x14ac:dyDescent="0.3">
      <c r="A805" s="22">
        <v>46045.617091157408</v>
      </c>
      <c r="B805" s="20">
        <v>79.900000000000006</v>
      </c>
      <c r="C805" s="20">
        <v>80</v>
      </c>
      <c r="D805" s="20">
        <v>80.489999999999995</v>
      </c>
      <c r="E805" s="20">
        <v>-0.49</v>
      </c>
      <c r="F805" s="20">
        <v>-0.12</v>
      </c>
      <c r="G805" s="20">
        <v>1873.54</v>
      </c>
      <c r="H805" s="20"/>
      <c r="I805" s="20"/>
      <c r="J805" s="20"/>
      <c r="K805" s="20"/>
    </row>
    <row r="806" spans="1:11" ht="19.5" customHeight="1" x14ac:dyDescent="0.3">
      <c r="A806" s="22">
        <v>46045.617092326385</v>
      </c>
      <c r="B806" s="25">
        <v>80</v>
      </c>
      <c r="C806" s="20">
        <v>80</v>
      </c>
      <c r="D806" s="20">
        <v>80.5</v>
      </c>
      <c r="E806" s="20">
        <v>-0.5</v>
      </c>
      <c r="F806" s="20">
        <v>-0.01</v>
      </c>
      <c r="G806" s="20">
        <v>1950.97</v>
      </c>
      <c r="H806" s="20"/>
      <c r="I806" s="20"/>
      <c r="J806" s="20"/>
      <c r="K806" s="20"/>
    </row>
    <row r="807" spans="1:11" ht="19.5" customHeight="1" x14ac:dyDescent="0.3">
      <c r="A807" s="22">
        <v>46045.61709349537</v>
      </c>
      <c r="B807" s="25">
        <v>80.099999999999994</v>
      </c>
      <c r="C807" s="20">
        <v>80</v>
      </c>
      <c r="D807" s="20">
        <v>80.55</v>
      </c>
      <c r="E807" s="20">
        <v>-0.55000000000000004</v>
      </c>
      <c r="F807" s="20">
        <v>-0.04</v>
      </c>
      <c r="G807" s="20">
        <v>1837.08</v>
      </c>
      <c r="H807" s="20"/>
      <c r="I807" s="20"/>
      <c r="J807" s="20"/>
      <c r="K807" s="20"/>
    </row>
    <row r="808" spans="1:11" ht="19.5" customHeight="1" x14ac:dyDescent="0.3">
      <c r="A808" s="22">
        <v>46045.617094629626</v>
      </c>
      <c r="B808" s="20">
        <v>80.2</v>
      </c>
      <c r="C808" s="20">
        <v>80</v>
      </c>
      <c r="D808" s="20">
        <v>80.61</v>
      </c>
      <c r="E808" s="20">
        <v>-0.61</v>
      </c>
      <c r="F808" s="20">
        <v>-0.06</v>
      </c>
      <c r="G808" s="20">
        <v>1663.04</v>
      </c>
      <c r="H808" s="20"/>
      <c r="I808" s="20"/>
      <c r="J808" s="20"/>
      <c r="K808" s="20"/>
    </row>
    <row r="809" spans="1:11" ht="19.5" customHeight="1" x14ac:dyDescent="0.3">
      <c r="A809" s="22">
        <v>46045.617095787034</v>
      </c>
      <c r="B809" s="25">
        <v>80.3</v>
      </c>
      <c r="C809" s="20">
        <v>80</v>
      </c>
      <c r="D809" s="20">
        <v>80.650000000000006</v>
      </c>
      <c r="E809" s="20">
        <v>-0.65</v>
      </c>
      <c r="F809" s="20">
        <v>-0.04</v>
      </c>
      <c r="G809" s="20">
        <v>1558.7</v>
      </c>
      <c r="H809" s="20"/>
      <c r="I809" s="20"/>
      <c r="J809" s="20"/>
      <c r="K809" s="20"/>
    </row>
    <row r="810" spans="1:11" ht="19.5" customHeight="1" x14ac:dyDescent="0.3">
      <c r="A810" s="22">
        <v>46045.617096944443</v>
      </c>
      <c r="B810" s="20">
        <v>80.400000000000006</v>
      </c>
      <c r="C810" s="20">
        <v>80</v>
      </c>
      <c r="D810" s="20">
        <v>80.62</v>
      </c>
      <c r="E810" s="20">
        <v>-0.62</v>
      </c>
      <c r="F810" s="20">
        <v>0.03</v>
      </c>
      <c r="G810" s="20">
        <v>1701.27</v>
      </c>
      <c r="H810" s="20"/>
      <c r="I810" s="20"/>
      <c r="J810" s="20"/>
      <c r="K810" s="20"/>
    </row>
    <row r="811" spans="1:11" ht="19.5" customHeight="1" x14ac:dyDescent="0.3">
      <c r="A811" s="22">
        <v>46045.617098113427</v>
      </c>
      <c r="B811" s="25">
        <v>80.5</v>
      </c>
      <c r="C811" s="20">
        <v>80</v>
      </c>
      <c r="D811" s="20">
        <v>80.64</v>
      </c>
      <c r="E811" s="20">
        <v>-0.64</v>
      </c>
      <c r="F811" s="20">
        <v>-0.02</v>
      </c>
      <c r="G811" s="20">
        <v>1601.93</v>
      </c>
      <c r="H811" s="20"/>
      <c r="I811" s="20"/>
      <c r="J811" s="20"/>
      <c r="K811" s="20"/>
    </row>
    <row r="812" spans="1:11" ht="19.5" customHeight="1" x14ac:dyDescent="0.3">
      <c r="A812" s="22">
        <v>46045.61709925926</v>
      </c>
      <c r="B812" s="25">
        <v>80.599999999999994</v>
      </c>
      <c r="C812" s="20">
        <v>80</v>
      </c>
      <c r="D812" s="20">
        <v>80.63</v>
      </c>
      <c r="E812" s="20">
        <v>-0.63</v>
      </c>
      <c r="F812" s="20">
        <v>0.01</v>
      </c>
      <c r="G812" s="20">
        <v>1664.64</v>
      </c>
      <c r="H812" s="20"/>
      <c r="I812" s="20"/>
      <c r="J812" s="20"/>
      <c r="K812" s="20"/>
    </row>
    <row r="813" spans="1:11" ht="19.5" customHeight="1" x14ac:dyDescent="0.3">
      <c r="A813" s="22">
        <v>46045.617100405092</v>
      </c>
      <c r="B813" s="20">
        <v>80.7</v>
      </c>
      <c r="C813" s="20">
        <v>80</v>
      </c>
      <c r="D813" s="20">
        <v>80.599999999999994</v>
      </c>
      <c r="E813" s="20">
        <v>-0.6</v>
      </c>
      <c r="F813" s="20">
        <v>0.03</v>
      </c>
      <c r="G813" s="20">
        <v>1746.38</v>
      </c>
      <c r="H813" s="20"/>
      <c r="I813" s="20"/>
      <c r="J813" s="20"/>
      <c r="K813" s="20"/>
    </row>
    <row r="814" spans="1:11" ht="19.5" customHeight="1" x14ac:dyDescent="0.3">
      <c r="A814" s="22">
        <v>46045.617101574077</v>
      </c>
      <c r="B814" s="25">
        <v>80.8</v>
      </c>
      <c r="C814" s="20">
        <v>80</v>
      </c>
      <c r="D814" s="20">
        <v>80.540000000000006</v>
      </c>
      <c r="E814" s="20">
        <v>-0.54</v>
      </c>
      <c r="F814" s="20">
        <v>0.06</v>
      </c>
      <c r="G814" s="20">
        <v>1886.82</v>
      </c>
      <c r="H814" s="20"/>
      <c r="I814" s="20"/>
      <c r="J814" s="20"/>
      <c r="K814" s="20"/>
    </row>
    <row r="815" spans="1:11" ht="19.5" customHeight="1" x14ac:dyDescent="0.3">
      <c r="A815" s="22">
        <v>46045.617102731485</v>
      </c>
      <c r="B815" s="20">
        <v>80.900000000000006</v>
      </c>
      <c r="C815" s="20">
        <v>80</v>
      </c>
      <c r="D815" s="20">
        <v>80.510000000000005</v>
      </c>
      <c r="E815" s="20">
        <v>-0.51</v>
      </c>
      <c r="F815" s="20">
        <v>0.03</v>
      </c>
      <c r="G815" s="20">
        <v>1940.74</v>
      </c>
      <c r="H815" s="20"/>
      <c r="I815" s="20"/>
      <c r="J815" s="20"/>
      <c r="K815" s="20"/>
    </row>
    <row r="816" spans="1:11" ht="19.5" customHeight="1" x14ac:dyDescent="0.3">
      <c r="A816" s="22">
        <v>46045.617103888886</v>
      </c>
      <c r="B816" s="25">
        <v>81</v>
      </c>
      <c r="C816" s="20">
        <v>80</v>
      </c>
      <c r="D816" s="20">
        <v>80.430000000000007</v>
      </c>
      <c r="E816" s="20">
        <v>-0.43</v>
      </c>
      <c r="F816" s="20">
        <v>0.08</v>
      </c>
      <c r="G816" s="20">
        <v>2068.4899999999998</v>
      </c>
      <c r="H816" s="20"/>
      <c r="I816" s="20"/>
      <c r="J816" s="20"/>
      <c r="K816" s="20"/>
    </row>
    <row r="817" spans="1:11" ht="19.5" customHeight="1" x14ac:dyDescent="0.3">
      <c r="A817" s="22">
        <v>46045.617105057871</v>
      </c>
      <c r="B817" s="25">
        <v>81.099999999999994</v>
      </c>
      <c r="C817" s="20">
        <v>80</v>
      </c>
      <c r="D817" s="20">
        <v>80.319999999999993</v>
      </c>
      <c r="E817" s="20">
        <v>-0.32</v>
      </c>
      <c r="F817" s="20">
        <v>0.11</v>
      </c>
      <c r="G817" s="20">
        <v>2203.8000000000002</v>
      </c>
      <c r="H817" s="20"/>
      <c r="I817" s="20"/>
      <c r="J817" s="20"/>
      <c r="K817" s="20"/>
    </row>
    <row r="818" spans="1:11" ht="19.5" customHeight="1" x14ac:dyDescent="0.3">
      <c r="A818" s="22">
        <v>46045.617106203703</v>
      </c>
      <c r="B818" s="20">
        <v>81.2</v>
      </c>
      <c r="C818" s="20">
        <v>80</v>
      </c>
      <c r="D818" s="20">
        <v>80.3</v>
      </c>
      <c r="E818" s="20">
        <v>-0.3</v>
      </c>
      <c r="F818" s="20">
        <v>0.02</v>
      </c>
      <c r="G818" s="20">
        <v>2230.5300000000002</v>
      </c>
      <c r="H818" s="20"/>
      <c r="I818" s="20"/>
      <c r="J818" s="20"/>
      <c r="K818" s="20"/>
    </row>
    <row r="819" spans="1:11" ht="19.5" customHeight="1" x14ac:dyDescent="0.3">
      <c r="A819" s="22">
        <v>46045.617107372687</v>
      </c>
      <c r="B819" s="25">
        <v>81.3</v>
      </c>
      <c r="C819" s="20">
        <v>80</v>
      </c>
      <c r="D819" s="20">
        <v>80.180000000000007</v>
      </c>
      <c r="E819" s="20">
        <v>-0.18</v>
      </c>
      <c r="F819" s="20">
        <v>0.12</v>
      </c>
      <c r="G819" s="20">
        <v>2354.7600000000002</v>
      </c>
      <c r="H819" s="20"/>
      <c r="I819" s="20"/>
      <c r="J819" s="20"/>
      <c r="K819" s="20"/>
    </row>
    <row r="820" spans="1:11" ht="19.5" customHeight="1" x14ac:dyDescent="0.3">
      <c r="A820" s="22">
        <v>46045.61710851852</v>
      </c>
      <c r="B820" s="20">
        <v>81.400000000000006</v>
      </c>
      <c r="C820" s="20">
        <v>80</v>
      </c>
      <c r="D820" s="20">
        <v>80.14</v>
      </c>
      <c r="E820" s="20">
        <v>-0.14000000000000001</v>
      </c>
      <c r="F820" s="20">
        <v>0.04</v>
      </c>
      <c r="G820" s="20">
        <v>2393.41</v>
      </c>
      <c r="H820" s="20"/>
      <c r="I820" s="20"/>
      <c r="J820" s="20"/>
      <c r="K820" s="20"/>
    </row>
    <row r="821" spans="1:11" ht="19.5" customHeight="1" x14ac:dyDescent="0.3">
      <c r="A821" s="22">
        <v>46045.617109675928</v>
      </c>
      <c r="B821" s="25">
        <v>81.5</v>
      </c>
      <c r="C821" s="20">
        <v>80</v>
      </c>
      <c r="D821" s="20">
        <v>80.099999999999994</v>
      </c>
      <c r="E821" s="20">
        <v>-0.1</v>
      </c>
      <c r="F821" s="20">
        <v>0.04</v>
      </c>
      <c r="G821" s="20">
        <v>2439.61</v>
      </c>
      <c r="H821" s="20"/>
      <c r="I821" s="20"/>
      <c r="J821" s="20"/>
      <c r="K821" s="20"/>
    </row>
    <row r="822" spans="1:11" ht="19.5" customHeight="1" x14ac:dyDescent="0.3">
      <c r="A822" s="22">
        <v>46045.617110833336</v>
      </c>
      <c r="B822" s="25">
        <v>81.599999999999994</v>
      </c>
      <c r="C822" s="20">
        <v>80</v>
      </c>
      <c r="D822" s="20">
        <v>80.010000000000005</v>
      </c>
      <c r="E822" s="20">
        <v>-0.01</v>
      </c>
      <c r="F822" s="20">
        <v>0.08</v>
      </c>
      <c r="G822" s="20">
        <v>2533.37</v>
      </c>
      <c r="H822" s="20"/>
      <c r="I822" s="20"/>
      <c r="J822" s="20"/>
      <c r="K822" s="20"/>
    </row>
    <row r="823" spans="1:11" ht="19.5" customHeight="1" x14ac:dyDescent="0.3">
      <c r="A823" s="22">
        <v>46045.617111990738</v>
      </c>
      <c r="B823" s="20">
        <v>81.7</v>
      </c>
      <c r="C823" s="20">
        <v>80</v>
      </c>
      <c r="D823" s="20">
        <v>79.959999999999994</v>
      </c>
      <c r="E823" s="20">
        <v>0.04</v>
      </c>
      <c r="F823" s="20">
        <v>0.06</v>
      </c>
      <c r="G823" s="20">
        <v>2602.21</v>
      </c>
      <c r="H823" s="20"/>
      <c r="I823" s="20"/>
      <c r="J823" s="20"/>
      <c r="K823" s="20"/>
    </row>
    <row r="824" spans="1:11" ht="19.5" customHeight="1" x14ac:dyDescent="0.3">
      <c r="A824" s="22">
        <v>46045.617113148146</v>
      </c>
      <c r="B824" s="25">
        <v>81.8</v>
      </c>
      <c r="C824" s="20">
        <v>80</v>
      </c>
      <c r="D824" s="20">
        <v>79.86</v>
      </c>
      <c r="E824" s="20">
        <v>0.14000000000000001</v>
      </c>
      <c r="F824" s="20">
        <v>0.1</v>
      </c>
      <c r="G824" s="20">
        <v>2711.44</v>
      </c>
      <c r="H824" s="20"/>
      <c r="I824" s="20"/>
      <c r="J824" s="20"/>
      <c r="K824" s="20"/>
    </row>
    <row r="825" spans="1:11" ht="19.5" customHeight="1" x14ac:dyDescent="0.3">
      <c r="A825" s="22">
        <v>46045.617114305554</v>
      </c>
      <c r="B825" s="20">
        <v>81.900000000000006</v>
      </c>
      <c r="C825" s="20">
        <v>80</v>
      </c>
      <c r="D825" s="20">
        <v>79.88</v>
      </c>
      <c r="E825" s="20">
        <v>0.12</v>
      </c>
      <c r="F825" s="20">
        <v>-0.02</v>
      </c>
      <c r="G825" s="20">
        <v>2596.84</v>
      </c>
      <c r="H825" s="20"/>
      <c r="I825" s="20"/>
      <c r="J825" s="20"/>
      <c r="K825" s="20"/>
    </row>
    <row r="826" spans="1:11" ht="19.5" customHeight="1" x14ac:dyDescent="0.3">
      <c r="A826" s="22">
        <v>46045.617115462963</v>
      </c>
      <c r="B826" s="25">
        <v>82</v>
      </c>
      <c r="C826" s="20">
        <v>80</v>
      </c>
      <c r="D826" s="20">
        <v>79.86</v>
      </c>
      <c r="E826" s="20">
        <v>0.14000000000000001</v>
      </c>
      <c r="F826" s="20">
        <v>0.01</v>
      </c>
      <c r="G826" s="20">
        <v>2578.7399999999998</v>
      </c>
      <c r="H826" s="20"/>
      <c r="I826" s="20"/>
      <c r="J826" s="20"/>
      <c r="K826" s="20"/>
    </row>
    <row r="827" spans="1:11" ht="19.5" customHeight="1" x14ac:dyDescent="0.3">
      <c r="A827" s="22">
        <v>46045.617116620371</v>
      </c>
      <c r="B827" s="25">
        <v>82.1</v>
      </c>
      <c r="C827" s="20">
        <v>80</v>
      </c>
      <c r="D827" s="20">
        <v>79.84</v>
      </c>
      <c r="E827" s="20">
        <v>0.16</v>
      </c>
      <c r="F827" s="20">
        <v>0.03</v>
      </c>
      <c r="G827" s="20">
        <v>2615.56</v>
      </c>
      <c r="H827" s="20"/>
      <c r="I827" s="20"/>
      <c r="J827" s="20"/>
      <c r="K827" s="20"/>
    </row>
    <row r="828" spans="1:11" ht="19.5" customHeight="1" x14ac:dyDescent="0.3">
      <c r="A828" s="22">
        <v>46045.61711777778</v>
      </c>
      <c r="B828" s="20">
        <v>82.2</v>
      </c>
      <c r="C828" s="20">
        <v>80</v>
      </c>
      <c r="D828" s="20">
        <v>79.83</v>
      </c>
      <c r="E828" s="20">
        <v>0.17</v>
      </c>
      <c r="F828" s="20">
        <v>0</v>
      </c>
      <c r="G828" s="20">
        <v>2559.88</v>
      </c>
      <c r="H828" s="20"/>
      <c r="I828" s="20"/>
      <c r="J828" s="20"/>
      <c r="K828" s="20"/>
    </row>
    <row r="829" spans="1:11" ht="19.5" customHeight="1" x14ac:dyDescent="0.3">
      <c r="A829" s="22">
        <v>46045.617118935188</v>
      </c>
      <c r="B829" s="25">
        <v>82.3</v>
      </c>
      <c r="C829" s="20">
        <v>80</v>
      </c>
      <c r="D829" s="20">
        <v>79.78</v>
      </c>
      <c r="E829" s="20">
        <v>0.22</v>
      </c>
      <c r="F829" s="20">
        <v>0.05</v>
      </c>
      <c r="G829" s="20">
        <v>2661.1</v>
      </c>
      <c r="H829" s="20"/>
      <c r="I829" s="20"/>
      <c r="J829" s="20"/>
      <c r="K829" s="20"/>
    </row>
    <row r="830" spans="1:11" ht="19.5" customHeight="1" x14ac:dyDescent="0.3">
      <c r="A830" s="22">
        <v>46045.617120092589</v>
      </c>
      <c r="B830" s="20">
        <v>82.4</v>
      </c>
      <c r="C830" s="20">
        <v>80</v>
      </c>
      <c r="D830" s="20">
        <v>79.86</v>
      </c>
      <c r="E830" s="20">
        <v>0.14000000000000001</v>
      </c>
      <c r="F830" s="20">
        <v>-0.08</v>
      </c>
      <c r="G830" s="20">
        <v>2702.04</v>
      </c>
      <c r="H830" s="20"/>
      <c r="I830" s="20"/>
      <c r="J830" s="20"/>
      <c r="K830" s="20"/>
    </row>
    <row r="831" spans="1:11" ht="19.5" customHeight="1" x14ac:dyDescent="0.3">
      <c r="A831" s="22">
        <v>46045.617121249998</v>
      </c>
      <c r="B831" s="25">
        <v>82.5</v>
      </c>
      <c r="C831" s="20">
        <v>80</v>
      </c>
      <c r="D831" s="20">
        <v>79.84</v>
      </c>
      <c r="E831" s="20">
        <v>0.16</v>
      </c>
      <c r="F831" s="20">
        <v>0.03</v>
      </c>
      <c r="G831" s="20">
        <v>2615.56</v>
      </c>
      <c r="H831" s="20"/>
      <c r="I831" s="20"/>
      <c r="J831" s="20"/>
      <c r="K831" s="20"/>
    </row>
    <row r="832" spans="1:11" ht="19.5" customHeight="1" x14ac:dyDescent="0.3">
      <c r="A832" s="22">
        <v>46045.617122407406</v>
      </c>
      <c r="B832" s="20">
        <v>82.6</v>
      </c>
      <c r="C832" s="20">
        <v>80</v>
      </c>
      <c r="D832" s="20">
        <v>79.89</v>
      </c>
      <c r="E832" s="20">
        <v>0.11</v>
      </c>
      <c r="F832" s="20">
        <v>-0.06</v>
      </c>
      <c r="G832" s="20">
        <v>2671.22</v>
      </c>
      <c r="H832" s="20"/>
      <c r="I832" s="20"/>
      <c r="J832" s="20"/>
      <c r="K832" s="20"/>
    </row>
    <row r="833" spans="1:11" ht="19.5" customHeight="1" x14ac:dyDescent="0.3">
      <c r="A833" s="22">
        <v>46045.617123564814</v>
      </c>
      <c r="B833" s="25">
        <v>82.7</v>
      </c>
      <c r="C833" s="20">
        <v>80</v>
      </c>
      <c r="D833" s="20">
        <v>79.94</v>
      </c>
      <c r="E833" s="20">
        <v>0.06</v>
      </c>
      <c r="F833" s="20">
        <v>-0.05</v>
      </c>
      <c r="G833" s="20">
        <v>2620.4299999999998</v>
      </c>
      <c r="H833" s="20"/>
      <c r="I833" s="20"/>
      <c r="J833" s="20"/>
      <c r="K833" s="20"/>
    </row>
    <row r="834" spans="1:11" ht="19.5" customHeight="1" x14ac:dyDescent="0.3">
      <c r="A834" s="22">
        <v>46045.617124722223</v>
      </c>
      <c r="B834" s="25">
        <v>82.8</v>
      </c>
      <c r="C834" s="20">
        <v>80</v>
      </c>
      <c r="D834" s="20">
        <v>79.989999999999995</v>
      </c>
      <c r="E834" s="20">
        <v>0.01</v>
      </c>
      <c r="F834" s="20">
        <v>-0.04</v>
      </c>
      <c r="G834" s="20">
        <v>2568.3200000000002</v>
      </c>
      <c r="H834" s="20"/>
      <c r="I834" s="20"/>
      <c r="J834" s="20"/>
      <c r="K834" s="20"/>
    </row>
    <row r="835" spans="1:11" ht="19.5" customHeight="1" x14ac:dyDescent="0.3">
      <c r="A835" s="22">
        <v>46045.617125879631</v>
      </c>
      <c r="B835" s="20">
        <v>82.9</v>
      </c>
      <c r="C835" s="20">
        <v>80</v>
      </c>
      <c r="D835" s="20">
        <v>80.040000000000006</v>
      </c>
      <c r="E835" s="20">
        <v>-0.04</v>
      </c>
      <c r="F835" s="20">
        <v>-0.06</v>
      </c>
      <c r="G835" s="20">
        <v>2477.7800000000002</v>
      </c>
      <c r="H835" s="20"/>
      <c r="I835" s="20"/>
      <c r="J835" s="20"/>
      <c r="K835" s="20"/>
    </row>
    <row r="836" spans="1:11" ht="19.5" customHeight="1" x14ac:dyDescent="0.3">
      <c r="A836" s="22">
        <v>46045.61712703704</v>
      </c>
      <c r="B836" s="25">
        <v>83</v>
      </c>
      <c r="C836" s="20">
        <v>80</v>
      </c>
      <c r="D836" s="20">
        <v>80.099999999999994</v>
      </c>
      <c r="E836" s="20">
        <v>-0.1</v>
      </c>
      <c r="F836" s="20">
        <v>-0.06</v>
      </c>
      <c r="G836" s="20">
        <v>2382.5500000000002</v>
      </c>
      <c r="H836" s="20"/>
      <c r="I836" s="20"/>
      <c r="J836" s="20"/>
      <c r="K836" s="20"/>
    </row>
    <row r="837" spans="1:11" ht="19.5" customHeight="1" x14ac:dyDescent="0.3">
      <c r="A837" s="22">
        <v>46045.617128194448</v>
      </c>
      <c r="B837" s="20">
        <v>83.1</v>
      </c>
      <c r="C837" s="20">
        <v>80</v>
      </c>
      <c r="D837" s="20">
        <v>80.17</v>
      </c>
      <c r="E837" s="20">
        <v>-0.17</v>
      </c>
      <c r="F837" s="20">
        <v>-0.06</v>
      </c>
      <c r="G837" s="20">
        <v>2308.64</v>
      </c>
      <c r="H837" s="20"/>
      <c r="I837" s="20"/>
      <c r="J837" s="20"/>
      <c r="K837" s="20"/>
    </row>
    <row r="838" spans="1:11" ht="19.5" customHeight="1" x14ac:dyDescent="0.3">
      <c r="A838" s="22">
        <v>46045.617129351849</v>
      </c>
      <c r="B838" s="25">
        <v>83.2</v>
      </c>
      <c r="C838" s="20">
        <v>80</v>
      </c>
      <c r="D838" s="20">
        <v>80.19</v>
      </c>
      <c r="E838" s="20">
        <v>-0.19</v>
      </c>
      <c r="F838" s="20">
        <v>-0.02</v>
      </c>
      <c r="G838" s="20">
        <v>2321.64</v>
      </c>
      <c r="H838" s="20"/>
      <c r="I838" s="20"/>
      <c r="J838" s="20"/>
      <c r="K838" s="20"/>
    </row>
    <row r="839" spans="1:11" ht="19.5" customHeight="1" x14ac:dyDescent="0.3">
      <c r="A839" s="22">
        <v>46045.617130520834</v>
      </c>
      <c r="B839" s="25">
        <v>83.3</v>
      </c>
      <c r="C839" s="20">
        <v>80</v>
      </c>
      <c r="D839" s="20">
        <v>80.28</v>
      </c>
      <c r="E839" s="20">
        <v>-0.28000000000000003</v>
      </c>
      <c r="F839" s="20">
        <v>-0.09</v>
      </c>
      <c r="G839" s="20">
        <v>2165.0300000000002</v>
      </c>
      <c r="H839" s="20"/>
      <c r="I839" s="20"/>
      <c r="J839" s="20"/>
      <c r="K839" s="20"/>
    </row>
    <row r="840" spans="1:11" ht="19.5" customHeight="1" x14ac:dyDescent="0.3">
      <c r="A840" s="22">
        <v>46045.61713165509</v>
      </c>
      <c r="B840" s="20">
        <v>83.4</v>
      </c>
      <c r="C840" s="20">
        <v>80</v>
      </c>
      <c r="D840" s="20">
        <v>80.3</v>
      </c>
      <c r="E840" s="20">
        <v>-0.3</v>
      </c>
      <c r="F840" s="20">
        <v>-0.01</v>
      </c>
      <c r="G840" s="20">
        <v>2224.04</v>
      </c>
      <c r="H840" s="20"/>
      <c r="I840" s="20"/>
      <c r="J840" s="20"/>
      <c r="K840" s="20"/>
    </row>
    <row r="841" spans="1:11" ht="19.5" customHeight="1" x14ac:dyDescent="0.3">
      <c r="A841" s="22">
        <v>46045.617132824074</v>
      </c>
      <c r="B841" s="25">
        <v>83.5</v>
      </c>
      <c r="C841" s="20">
        <v>80</v>
      </c>
      <c r="D841" s="20">
        <v>80.34</v>
      </c>
      <c r="E841" s="20">
        <v>-0.34</v>
      </c>
      <c r="F841" s="20">
        <v>-0.04</v>
      </c>
      <c r="G841" s="20">
        <v>2145.77</v>
      </c>
      <c r="H841" s="20"/>
      <c r="I841" s="20"/>
      <c r="J841" s="20"/>
      <c r="K841" s="20"/>
    </row>
    <row r="842" spans="1:11" ht="19.5" customHeight="1" x14ac:dyDescent="0.3">
      <c r="A842" s="22">
        <v>46045.617133993059</v>
      </c>
      <c r="B842" s="20">
        <v>83.6</v>
      </c>
      <c r="C842" s="20">
        <v>80</v>
      </c>
      <c r="D842" s="20">
        <v>80.38</v>
      </c>
      <c r="E842" s="20">
        <v>-0.38</v>
      </c>
      <c r="F842" s="20">
        <v>-0.04</v>
      </c>
      <c r="G842" s="20">
        <v>2092.59</v>
      </c>
      <c r="H842" s="20"/>
      <c r="I842" s="20"/>
      <c r="J842" s="20"/>
      <c r="K842" s="20"/>
    </row>
    <row r="843" spans="1:11" ht="19.5" customHeight="1" x14ac:dyDescent="0.3">
      <c r="A843" s="22">
        <v>46045.617135185188</v>
      </c>
      <c r="B843" s="25">
        <v>83.7</v>
      </c>
      <c r="C843" s="20">
        <v>80</v>
      </c>
      <c r="D843" s="20">
        <v>80.41</v>
      </c>
      <c r="E843" s="20">
        <v>-0.41</v>
      </c>
      <c r="F843" s="20">
        <v>-0.03</v>
      </c>
      <c r="G843" s="20">
        <v>2070.5100000000002</v>
      </c>
      <c r="H843" s="20"/>
      <c r="I843" s="20"/>
      <c r="J843" s="20"/>
      <c r="K843" s="20"/>
    </row>
    <row r="844" spans="1:11" ht="19.5" customHeight="1" x14ac:dyDescent="0.3">
      <c r="A844" s="22">
        <v>46045.617136307868</v>
      </c>
      <c r="B844" s="25">
        <v>83.8</v>
      </c>
      <c r="C844" s="20">
        <v>80</v>
      </c>
      <c r="D844" s="20">
        <v>80.400000000000006</v>
      </c>
      <c r="E844" s="20">
        <v>-0.4</v>
      </c>
      <c r="F844" s="20">
        <v>0.01</v>
      </c>
      <c r="G844" s="20">
        <v>2111.89</v>
      </c>
      <c r="H844" s="20"/>
      <c r="I844" s="20"/>
      <c r="J844" s="20"/>
      <c r="K844" s="20"/>
    </row>
    <row r="845" spans="1:11" ht="19.5" customHeight="1" x14ac:dyDescent="0.3">
      <c r="A845" s="22">
        <v>46045.617137476853</v>
      </c>
      <c r="B845" s="20">
        <v>83.9</v>
      </c>
      <c r="C845" s="20">
        <v>80</v>
      </c>
      <c r="D845" s="20">
        <v>80.459999999999994</v>
      </c>
      <c r="E845" s="20">
        <v>-0.46</v>
      </c>
      <c r="F845" s="20">
        <v>-0.06</v>
      </c>
      <c r="G845" s="20">
        <v>1962.73</v>
      </c>
      <c r="H845" s="20"/>
      <c r="I845" s="20"/>
      <c r="J845" s="20"/>
      <c r="K845" s="20"/>
    </row>
    <row r="846" spans="1:11" ht="19.5" customHeight="1" x14ac:dyDescent="0.3">
      <c r="A846" s="22">
        <v>46045.617138622685</v>
      </c>
      <c r="B846" s="25">
        <v>84</v>
      </c>
      <c r="C846" s="20">
        <v>80</v>
      </c>
      <c r="D846" s="20">
        <v>80.5</v>
      </c>
      <c r="E846" s="20">
        <v>-0.5</v>
      </c>
      <c r="F846" s="20">
        <v>-0.03</v>
      </c>
      <c r="G846" s="20">
        <v>1939.32</v>
      </c>
      <c r="H846" s="20"/>
      <c r="I846" s="20"/>
      <c r="J846" s="20"/>
      <c r="K846" s="20"/>
    </row>
    <row r="847" spans="1:11" ht="19.5" customHeight="1" x14ac:dyDescent="0.3">
      <c r="A847" s="22">
        <v>46045.617139768518</v>
      </c>
      <c r="B847" s="25">
        <v>84.1</v>
      </c>
      <c r="C847" s="20">
        <v>80</v>
      </c>
      <c r="D847" s="20">
        <v>80.489999999999995</v>
      </c>
      <c r="E847" s="20">
        <v>-0.49</v>
      </c>
      <c r="F847" s="20">
        <v>0.01</v>
      </c>
      <c r="G847" s="20">
        <v>1982.66</v>
      </c>
      <c r="H847" s="20"/>
      <c r="I847" s="20"/>
      <c r="J847" s="20"/>
      <c r="K847" s="20"/>
    </row>
    <row r="848" spans="1:11" ht="19.5" customHeight="1" x14ac:dyDescent="0.3">
      <c r="A848" s="22">
        <v>46045.617140972223</v>
      </c>
      <c r="B848" s="20">
        <v>84.2</v>
      </c>
      <c r="C848" s="20">
        <v>80</v>
      </c>
      <c r="D848" s="20">
        <v>80.52</v>
      </c>
      <c r="E848" s="20">
        <v>-0.52</v>
      </c>
      <c r="F848" s="20">
        <v>-0.03</v>
      </c>
      <c r="G848" s="20">
        <v>1907.17</v>
      </c>
      <c r="H848" s="20"/>
      <c r="I848" s="20"/>
      <c r="J848" s="20"/>
      <c r="K848" s="20"/>
    </row>
    <row r="849" spans="1:11" ht="19.5" customHeight="1" x14ac:dyDescent="0.3">
      <c r="A849" s="22">
        <v>46045.61714209491</v>
      </c>
      <c r="B849" s="25">
        <v>84.3</v>
      </c>
      <c r="C849" s="20">
        <v>80</v>
      </c>
      <c r="D849" s="20">
        <v>80.52</v>
      </c>
      <c r="E849" s="20">
        <v>-0.52</v>
      </c>
      <c r="F849" s="20">
        <v>0</v>
      </c>
      <c r="G849" s="20">
        <v>1922.15</v>
      </c>
      <c r="H849" s="20"/>
      <c r="I849" s="20"/>
      <c r="J849" s="20"/>
      <c r="K849" s="20"/>
    </row>
    <row r="850" spans="1:11" ht="19.5" customHeight="1" x14ac:dyDescent="0.3">
      <c r="A850" s="22">
        <v>46045.617143252312</v>
      </c>
      <c r="B850" s="20">
        <v>84.4</v>
      </c>
      <c r="C850" s="20">
        <v>80</v>
      </c>
      <c r="D850" s="20">
        <v>80.459999999999994</v>
      </c>
      <c r="E850" s="20">
        <v>-0.46</v>
      </c>
      <c r="F850" s="20">
        <v>0.06</v>
      </c>
      <c r="G850" s="20">
        <v>2021.28</v>
      </c>
      <c r="H850" s="20"/>
      <c r="I850" s="20"/>
      <c r="J850" s="20"/>
      <c r="K850" s="20"/>
    </row>
    <row r="851" spans="1:11" ht="19.5" customHeight="1" x14ac:dyDescent="0.3">
      <c r="A851" s="22">
        <v>46045.61714440972</v>
      </c>
      <c r="B851" s="25">
        <v>84.5</v>
      </c>
      <c r="C851" s="20">
        <v>80</v>
      </c>
      <c r="D851" s="20">
        <v>80.47</v>
      </c>
      <c r="E851" s="20">
        <v>-0.47</v>
      </c>
      <c r="F851" s="20">
        <v>-0.01</v>
      </c>
      <c r="G851" s="20">
        <v>2001.31</v>
      </c>
      <c r="H851" s="20"/>
      <c r="I851" s="20"/>
      <c r="J851" s="20"/>
      <c r="K851" s="20"/>
    </row>
    <row r="852" spans="1:11" ht="19.5" customHeight="1" x14ac:dyDescent="0.3">
      <c r="A852" s="22">
        <v>46045.617145555552</v>
      </c>
      <c r="B852" s="20">
        <v>84.6</v>
      </c>
      <c r="C852" s="20">
        <v>80</v>
      </c>
      <c r="D852" s="20">
        <v>80.430000000000007</v>
      </c>
      <c r="E852" s="20">
        <v>-0.43</v>
      </c>
      <c r="F852" s="20">
        <v>0.04</v>
      </c>
      <c r="G852" s="20">
        <v>2074.13</v>
      </c>
      <c r="H852" s="20"/>
      <c r="I852" s="20"/>
      <c r="J852" s="20"/>
      <c r="K852" s="20"/>
    </row>
    <row r="853" spans="1:11" ht="19.5" customHeight="1" x14ac:dyDescent="0.3">
      <c r="A853" s="22">
        <v>46045.617146701392</v>
      </c>
      <c r="B853" s="25">
        <v>84.7</v>
      </c>
      <c r="C853" s="20">
        <v>80</v>
      </c>
      <c r="D853" s="20">
        <v>80.41</v>
      </c>
      <c r="E853" s="20">
        <v>-0.41</v>
      </c>
      <c r="F853" s="20">
        <v>0.02</v>
      </c>
      <c r="G853" s="20">
        <v>2101.33</v>
      </c>
      <c r="H853" s="20"/>
      <c r="I853" s="20"/>
      <c r="J853" s="20"/>
      <c r="K853" s="20"/>
    </row>
    <row r="854" spans="1:11" ht="19.5" customHeight="1" x14ac:dyDescent="0.3">
      <c r="A854" s="22">
        <v>46045.617147881945</v>
      </c>
      <c r="B854" s="25">
        <v>84.8</v>
      </c>
      <c r="C854" s="20">
        <v>80</v>
      </c>
      <c r="D854" s="20">
        <v>80.39</v>
      </c>
      <c r="E854" s="20">
        <v>-0.39</v>
      </c>
      <c r="F854" s="20">
        <v>0.02</v>
      </c>
      <c r="G854" s="20">
        <v>2127.31</v>
      </c>
      <c r="H854" s="20"/>
      <c r="I854" s="20"/>
      <c r="J854" s="20"/>
      <c r="K854" s="20"/>
    </row>
    <row r="855" spans="1:11" ht="19.5" customHeight="1" x14ac:dyDescent="0.3">
      <c r="A855" s="22">
        <v>46045.617149039354</v>
      </c>
      <c r="B855" s="20">
        <v>84.9</v>
      </c>
      <c r="C855" s="20">
        <v>80</v>
      </c>
      <c r="D855" s="20">
        <v>80.33</v>
      </c>
      <c r="E855" s="20">
        <v>-0.33</v>
      </c>
      <c r="F855" s="20">
        <v>0.06</v>
      </c>
      <c r="G855" s="20">
        <v>2194.67</v>
      </c>
      <c r="H855" s="20"/>
      <c r="I855" s="20"/>
      <c r="J855" s="20"/>
      <c r="K855" s="20"/>
    </row>
    <row r="856" spans="1:11" ht="19.5" customHeight="1" x14ac:dyDescent="0.3">
      <c r="A856" s="22">
        <v>46045.617150196762</v>
      </c>
      <c r="B856" s="25">
        <v>85</v>
      </c>
      <c r="C856" s="20">
        <v>80</v>
      </c>
      <c r="D856" s="20">
        <v>80.260000000000005</v>
      </c>
      <c r="E856" s="20">
        <v>-0.26</v>
      </c>
      <c r="F856" s="20">
        <v>7.0000000000000007E-2</v>
      </c>
      <c r="G856" s="20">
        <v>2273.5</v>
      </c>
      <c r="H856" s="20"/>
      <c r="I856" s="20"/>
      <c r="J856" s="20"/>
      <c r="K856" s="20"/>
    </row>
    <row r="857" spans="1:11" ht="19.5" customHeight="1" x14ac:dyDescent="0.3">
      <c r="A857" s="22">
        <v>46045.617151354163</v>
      </c>
      <c r="B857" s="20">
        <v>85.1</v>
      </c>
      <c r="C857" s="20">
        <v>80</v>
      </c>
      <c r="D857" s="20">
        <v>80.27</v>
      </c>
      <c r="E857" s="20">
        <v>-0.27</v>
      </c>
      <c r="F857" s="20">
        <v>-0.01</v>
      </c>
      <c r="G857" s="20">
        <v>2257.75</v>
      </c>
      <c r="H857" s="20"/>
      <c r="I857" s="20"/>
      <c r="J857" s="20"/>
      <c r="K857" s="20"/>
    </row>
    <row r="858" spans="1:11" ht="19.5" customHeight="1" x14ac:dyDescent="0.3">
      <c r="A858" s="22">
        <v>46045.617152500003</v>
      </c>
      <c r="B858" s="25">
        <v>85.2</v>
      </c>
      <c r="C858" s="20">
        <v>80</v>
      </c>
      <c r="D858" s="20">
        <v>80.22</v>
      </c>
      <c r="E858" s="20">
        <v>-0.22</v>
      </c>
      <c r="F858" s="20">
        <v>0.05</v>
      </c>
      <c r="G858" s="20">
        <v>2319.31</v>
      </c>
      <c r="H858" s="20"/>
      <c r="I858" s="20"/>
      <c r="J858" s="20"/>
      <c r="K858" s="20"/>
    </row>
    <row r="859" spans="1:11" ht="19.5" customHeight="1" x14ac:dyDescent="0.3">
      <c r="A859" s="22">
        <v>46045.617153657404</v>
      </c>
      <c r="B859" s="25">
        <v>85.3</v>
      </c>
      <c r="C859" s="20">
        <v>80</v>
      </c>
      <c r="D859" s="20">
        <v>80.209999999999994</v>
      </c>
      <c r="E859" s="20">
        <v>-0.21</v>
      </c>
      <c r="F859" s="20">
        <v>0.01</v>
      </c>
      <c r="G859" s="20">
        <v>2327.59</v>
      </c>
      <c r="H859" s="20"/>
      <c r="I859" s="20"/>
      <c r="J859" s="20"/>
      <c r="K859" s="20"/>
    </row>
    <row r="860" spans="1:11" ht="19.5" customHeight="1" x14ac:dyDescent="0.3">
      <c r="A860" s="22">
        <v>46045.617154814812</v>
      </c>
      <c r="B860" s="20">
        <v>85.4</v>
      </c>
      <c r="C860" s="20">
        <v>80</v>
      </c>
      <c r="D860" s="20">
        <v>80.13</v>
      </c>
      <c r="E860" s="20">
        <v>-0.13</v>
      </c>
      <c r="F860" s="20">
        <v>0.08</v>
      </c>
      <c r="G860" s="20">
        <v>2409.94</v>
      </c>
      <c r="H860" s="20"/>
      <c r="I860" s="20"/>
      <c r="J860" s="20"/>
      <c r="K860" s="20"/>
    </row>
    <row r="861" spans="1:11" ht="19.5" customHeight="1" x14ac:dyDescent="0.3">
      <c r="A861" s="22">
        <v>46045.617155960645</v>
      </c>
      <c r="B861" s="25">
        <v>85.5</v>
      </c>
      <c r="C861" s="20">
        <v>80</v>
      </c>
      <c r="D861" s="20">
        <v>80.11</v>
      </c>
      <c r="E861" s="20">
        <v>-0.11</v>
      </c>
      <c r="F861" s="20">
        <v>0.01</v>
      </c>
      <c r="G861" s="20">
        <v>2422.6799999999998</v>
      </c>
      <c r="H861" s="20"/>
      <c r="I861" s="20"/>
      <c r="J861" s="20"/>
      <c r="K861" s="20"/>
    </row>
    <row r="862" spans="1:11" ht="19.5" customHeight="1" x14ac:dyDescent="0.3">
      <c r="A862" s="22">
        <v>46045.61715716435</v>
      </c>
      <c r="B862" s="20">
        <v>85.6</v>
      </c>
      <c r="C862" s="20">
        <v>80</v>
      </c>
      <c r="D862" s="20">
        <v>80.099999999999994</v>
      </c>
      <c r="E862" s="20">
        <v>-0.1</v>
      </c>
      <c r="F862" s="20">
        <v>0.02</v>
      </c>
      <c r="G862" s="20">
        <v>2439.61</v>
      </c>
      <c r="H862" s="20"/>
      <c r="I862" s="20"/>
      <c r="J862" s="20"/>
      <c r="K862" s="20"/>
    </row>
    <row r="863" spans="1:11" ht="19.5" customHeight="1" x14ac:dyDescent="0.3">
      <c r="A863" s="22">
        <v>46045.617158298614</v>
      </c>
      <c r="B863" s="25">
        <v>85.7</v>
      </c>
      <c r="C863" s="20">
        <v>80</v>
      </c>
      <c r="D863" s="20">
        <v>80.040000000000006</v>
      </c>
      <c r="E863" s="20">
        <v>-0.04</v>
      </c>
      <c r="F863" s="20">
        <v>0.06</v>
      </c>
      <c r="G863" s="20">
        <v>2500.73</v>
      </c>
      <c r="H863" s="20"/>
      <c r="I863" s="20"/>
      <c r="J863" s="20"/>
      <c r="K863" s="20"/>
    </row>
    <row r="864" spans="1:11" ht="19.5" customHeight="1" x14ac:dyDescent="0.3">
      <c r="A864" s="22">
        <v>46045.617159490743</v>
      </c>
      <c r="B864" s="25">
        <v>85.8</v>
      </c>
      <c r="C864" s="20">
        <v>80</v>
      </c>
      <c r="D864" s="20">
        <v>80.069999999999993</v>
      </c>
      <c r="E864" s="20">
        <v>-7.0000000000000007E-2</v>
      </c>
      <c r="F864" s="20">
        <v>-0.02</v>
      </c>
      <c r="G864" s="20">
        <v>2450.1799999999998</v>
      </c>
      <c r="H864" s="20"/>
      <c r="I864" s="20"/>
      <c r="J864" s="20"/>
      <c r="K864" s="20"/>
    </row>
    <row r="865" spans="1:11" ht="19.5" customHeight="1" x14ac:dyDescent="0.3">
      <c r="A865" s="22">
        <v>46045.617160601854</v>
      </c>
      <c r="B865" s="20">
        <v>85.9</v>
      </c>
      <c r="C865" s="20">
        <v>80</v>
      </c>
      <c r="D865" s="20">
        <v>80.02</v>
      </c>
      <c r="E865" s="20">
        <v>-0.02</v>
      </c>
      <c r="F865" s="20">
        <v>0.04</v>
      </c>
      <c r="G865" s="20">
        <v>2524.15</v>
      </c>
      <c r="H865" s="20"/>
      <c r="I865" s="20"/>
      <c r="J865" s="20"/>
      <c r="K865" s="20"/>
    </row>
    <row r="866" spans="1:11" ht="19.5" customHeight="1" x14ac:dyDescent="0.3">
      <c r="A866" s="22">
        <v>46045.617161782407</v>
      </c>
      <c r="B866" s="25">
        <v>86</v>
      </c>
      <c r="C866" s="20">
        <v>80</v>
      </c>
      <c r="D866" s="20">
        <v>80.06</v>
      </c>
      <c r="E866" s="20">
        <v>-0.06</v>
      </c>
      <c r="F866" s="20">
        <v>-0.04</v>
      </c>
      <c r="G866" s="20">
        <v>2452.17</v>
      </c>
      <c r="H866" s="20"/>
      <c r="I866" s="20"/>
      <c r="J866" s="20"/>
      <c r="K866" s="20"/>
    </row>
    <row r="867" spans="1:11" ht="19.5" customHeight="1" x14ac:dyDescent="0.3">
      <c r="A867" s="22">
        <v>46045.617162916664</v>
      </c>
      <c r="B867" s="20">
        <v>86.1</v>
      </c>
      <c r="C867" s="20">
        <v>80</v>
      </c>
      <c r="D867" s="20">
        <v>80.040000000000006</v>
      </c>
      <c r="E867" s="20">
        <v>-0.04</v>
      </c>
      <c r="F867" s="20">
        <v>0.02</v>
      </c>
      <c r="G867" s="20">
        <v>2501.21</v>
      </c>
      <c r="H867" s="20"/>
      <c r="I867" s="20"/>
      <c r="J867" s="20"/>
      <c r="K867" s="20"/>
    </row>
    <row r="868" spans="1:11" ht="19.5" customHeight="1" x14ac:dyDescent="0.3">
      <c r="A868" s="22">
        <v>46045.617164074072</v>
      </c>
      <c r="B868" s="25">
        <v>86.2</v>
      </c>
      <c r="C868" s="20">
        <v>80</v>
      </c>
      <c r="D868" s="20">
        <v>80.03</v>
      </c>
      <c r="E868" s="20">
        <v>-0.03</v>
      </c>
      <c r="F868" s="20">
        <v>0.02</v>
      </c>
      <c r="G868" s="20">
        <v>2519.63</v>
      </c>
      <c r="H868" s="20"/>
      <c r="I868" s="20"/>
      <c r="J868" s="20"/>
      <c r="K868" s="20"/>
    </row>
    <row r="869" spans="1:11" ht="19.5" customHeight="1" x14ac:dyDescent="0.3">
      <c r="A869" s="22">
        <v>46045.617165254633</v>
      </c>
      <c r="B869" s="25">
        <v>86.3</v>
      </c>
      <c r="C869" s="20">
        <v>80</v>
      </c>
      <c r="D869" s="20">
        <v>80.040000000000006</v>
      </c>
      <c r="E869" s="20">
        <v>-0.04</v>
      </c>
      <c r="F869" s="20">
        <v>-0.02</v>
      </c>
      <c r="G869" s="20">
        <v>2484.79</v>
      </c>
      <c r="H869" s="20"/>
      <c r="I869" s="20"/>
      <c r="J869" s="20"/>
      <c r="K869" s="20"/>
    </row>
    <row r="870" spans="1:11" ht="19.5" customHeight="1" x14ac:dyDescent="0.3">
      <c r="A870" s="22">
        <v>46045.617166400465</v>
      </c>
      <c r="B870" s="20">
        <v>86.4</v>
      </c>
      <c r="C870" s="20">
        <v>80</v>
      </c>
      <c r="D870" s="20">
        <v>80.06</v>
      </c>
      <c r="E870" s="20">
        <v>-0.06</v>
      </c>
      <c r="F870" s="20">
        <v>-0.02</v>
      </c>
      <c r="G870" s="20">
        <v>2458.5700000000002</v>
      </c>
      <c r="H870" s="20"/>
      <c r="I870" s="20"/>
      <c r="J870" s="20"/>
      <c r="K870" s="20"/>
    </row>
    <row r="871" spans="1:11" ht="19.5" customHeight="1" x14ac:dyDescent="0.3">
      <c r="A871" s="22">
        <v>46045.617167557873</v>
      </c>
      <c r="B871" s="25">
        <v>86.5</v>
      </c>
      <c r="C871" s="20">
        <v>80</v>
      </c>
      <c r="D871" s="20">
        <v>80.11</v>
      </c>
      <c r="E871" s="20">
        <v>-0.11</v>
      </c>
      <c r="F871" s="20">
        <v>-0.05</v>
      </c>
      <c r="G871" s="20">
        <v>2380.2800000000002</v>
      </c>
      <c r="H871" s="20"/>
      <c r="I871" s="20"/>
      <c r="J871" s="20"/>
      <c r="K871" s="20"/>
    </row>
    <row r="872" spans="1:11" ht="19.5" customHeight="1" x14ac:dyDescent="0.3">
      <c r="A872" s="22">
        <v>46045.617168703706</v>
      </c>
      <c r="B872" s="20">
        <v>86.6</v>
      </c>
      <c r="C872" s="20">
        <v>80</v>
      </c>
      <c r="D872" s="20">
        <v>80.11</v>
      </c>
      <c r="E872" s="20">
        <v>-0.11</v>
      </c>
      <c r="F872" s="20">
        <v>0</v>
      </c>
      <c r="G872" s="20">
        <v>2431.14</v>
      </c>
      <c r="H872" s="20"/>
      <c r="I872" s="20"/>
      <c r="J872" s="20"/>
      <c r="K872" s="20"/>
    </row>
    <row r="873" spans="1:11" ht="19.5" customHeight="1" x14ac:dyDescent="0.3">
      <c r="A873" s="22">
        <v>46045.617169884259</v>
      </c>
      <c r="B873" s="25">
        <v>86.7</v>
      </c>
      <c r="C873" s="20">
        <v>80</v>
      </c>
      <c r="D873" s="20">
        <v>80.16</v>
      </c>
      <c r="E873" s="20">
        <v>-0.16</v>
      </c>
      <c r="F873" s="20">
        <v>-0.06</v>
      </c>
      <c r="G873" s="20">
        <v>2320.08</v>
      </c>
      <c r="H873" s="20"/>
      <c r="I873" s="20"/>
      <c r="J873" s="20"/>
      <c r="K873" s="20"/>
    </row>
    <row r="874" spans="1:11" ht="19.5" customHeight="1" x14ac:dyDescent="0.3">
      <c r="A874" s="22">
        <v>46045.617171018515</v>
      </c>
      <c r="B874" s="25">
        <v>86.8</v>
      </c>
      <c r="C874" s="20">
        <v>80</v>
      </c>
      <c r="D874" s="20">
        <v>80.13</v>
      </c>
      <c r="E874" s="20">
        <v>-0.13</v>
      </c>
      <c r="F874" s="20">
        <v>0.04</v>
      </c>
      <c r="G874" s="20">
        <v>2410.08</v>
      </c>
      <c r="H874" s="20"/>
      <c r="I874" s="20"/>
      <c r="J874" s="20"/>
      <c r="K874" s="20"/>
    </row>
    <row r="875" spans="1:11" ht="19.5" customHeight="1" x14ac:dyDescent="0.3">
      <c r="A875" s="22">
        <v>46045.6171721875</v>
      </c>
      <c r="B875" s="20">
        <v>86.9</v>
      </c>
      <c r="C875" s="20">
        <v>80</v>
      </c>
      <c r="D875" s="20">
        <v>80.14</v>
      </c>
      <c r="E875" s="20">
        <v>-0.14000000000000001</v>
      </c>
      <c r="F875" s="20">
        <v>-0.02</v>
      </c>
      <c r="G875" s="20">
        <v>2378.17</v>
      </c>
      <c r="H875" s="20"/>
      <c r="I875" s="20"/>
      <c r="J875" s="20"/>
      <c r="K875" s="20"/>
    </row>
    <row r="876" spans="1:11" ht="19.5" customHeight="1" x14ac:dyDescent="0.3">
      <c r="A876" s="22">
        <v>46045.617173379629</v>
      </c>
      <c r="B876" s="25">
        <v>87</v>
      </c>
      <c r="C876" s="20">
        <v>80</v>
      </c>
      <c r="D876" s="20">
        <v>80.25</v>
      </c>
      <c r="E876" s="20">
        <v>-0.25</v>
      </c>
      <c r="F876" s="20">
        <v>-0.1</v>
      </c>
      <c r="G876" s="20">
        <v>2191.8000000000002</v>
      </c>
      <c r="H876" s="20"/>
      <c r="I876" s="20"/>
      <c r="J876" s="20"/>
      <c r="K876" s="20"/>
    </row>
    <row r="877" spans="1:11" ht="19.5" customHeight="1" x14ac:dyDescent="0.3">
      <c r="A877" s="22">
        <v>46045.617174490741</v>
      </c>
      <c r="B877" s="20">
        <v>87.1</v>
      </c>
      <c r="C877" s="20">
        <v>80</v>
      </c>
      <c r="D877" s="20">
        <v>80.23</v>
      </c>
      <c r="E877" s="20">
        <v>-0.23</v>
      </c>
      <c r="F877" s="20">
        <v>0.02</v>
      </c>
      <c r="G877" s="20">
        <v>2302.79</v>
      </c>
      <c r="H877" s="20"/>
      <c r="I877" s="20"/>
      <c r="J877" s="20"/>
      <c r="K877" s="20"/>
    </row>
    <row r="878" spans="1:11" ht="19.5" customHeight="1" x14ac:dyDescent="0.3">
      <c r="A878" s="22">
        <v>46045.61717568287</v>
      </c>
      <c r="B878" s="25">
        <v>87.2</v>
      </c>
      <c r="C878" s="20">
        <v>80</v>
      </c>
      <c r="D878" s="20">
        <v>80.239999999999995</v>
      </c>
      <c r="E878" s="20">
        <v>-0.24</v>
      </c>
      <c r="F878" s="20">
        <v>0</v>
      </c>
      <c r="G878" s="20">
        <v>2294.9499999999998</v>
      </c>
      <c r="H878" s="20"/>
      <c r="I878" s="20"/>
      <c r="J878" s="20"/>
      <c r="K878" s="20"/>
    </row>
    <row r="879" spans="1:11" ht="19.5" customHeight="1" x14ac:dyDescent="0.3">
      <c r="A879" s="22">
        <v>46045.617176828702</v>
      </c>
      <c r="B879" s="25">
        <v>87.3</v>
      </c>
      <c r="C879" s="20">
        <v>80</v>
      </c>
      <c r="D879" s="20">
        <v>80.33</v>
      </c>
      <c r="E879" s="20">
        <v>-0.33</v>
      </c>
      <c r="F879" s="20">
        <v>-0.09</v>
      </c>
      <c r="G879" s="20">
        <v>2116.73</v>
      </c>
      <c r="H879" s="20"/>
      <c r="I879" s="20"/>
      <c r="J879" s="20"/>
      <c r="K879" s="20"/>
    </row>
    <row r="880" spans="1:11" ht="19.5" customHeight="1" x14ac:dyDescent="0.3">
      <c r="A880" s="22">
        <v>46045.617177974535</v>
      </c>
      <c r="B880" s="20">
        <v>87.4</v>
      </c>
      <c r="C880" s="20">
        <v>80</v>
      </c>
      <c r="D880" s="20">
        <v>80.349999999999994</v>
      </c>
      <c r="E880" s="20">
        <v>-0.35</v>
      </c>
      <c r="F880" s="20">
        <v>-0.02</v>
      </c>
      <c r="G880" s="20">
        <v>2149.71</v>
      </c>
      <c r="H880" s="20"/>
      <c r="I880" s="20"/>
      <c r="J880" s="20"/>
      <c r="K880" s="20"/>
    </row>
    <row r="881" spans="1:11" ht="19.5" customHeight="1" x14ac:dyDescent="0.3">
      <c r="A881" s="22">
        <v>46045.617179120367</v>
      </c>
      <c r="B881" s="25">
        <v>87.5</v>
      </c>
      <c r="C881" s="20">
        <v>80</v>
      </c>
      <c r="D881" s="20">
        <v>80.349999999999994</v>
      </c>
      <c r="E881" s="20">
        <v>-0.35</v>
      </c>
      <c r="F881" s="20">
        <v>0</v>
      </c>
      <c r="G881" s="20">
        <v>2176.14</v>
      </c>
      <c r="H881" s="20"/>
      <c r="I881" s="20"/>
      <c r="J881" s="20"/>
      <c r="K881" s="20"/>
    </row>
    <row r="882" spans="1:11" ht="19.5" customHeight="1" x14ac:dyDescent="0.3">
      <c r="A882" s="22">
        <v>46045.617180300927</v>
      </c>
      <c r="B882" s="25">
        <v>87.6</v>
      </c>
      <c r="C882" s="20">
        <v>80</v>
      </c>
      <c r="D882" s="20">
        <v>80.36</v>
      </c>
      <c r="E882" s="20">
        <v>-0.36</v>
      </c>
      <c r="F882" s="20">
        <v>-0.02</v>
      </c>
      <c r="G882" s="20">
        <v>2142.59</v>
      </c>
      <c r="H882" s="20"/>
      <c r="I882" s="20"/>
      <c r="J882" s="20"/>
      <c r="K882" s="20"/>
    </row>
    <row r="883" spans="1:11" ht="19.5" customHeight="1" x14ac:dyDescent="0.3">
      <c r="A883" s="22">
        <v>46045.61718144676</v>
      </c>
      <c r="B883" s="20">
        <v>87.7</v>
      </c>
      <c r="C883" s="20">
        <v>80</v>
      </c>
      <c r="D883" s="20">
        <v>80.37</v>
      </c>
      <c r="E883" s="20">
        <v>-0.37</v>
      </c>
      <c r="F883" s="20">
        <v>0</v>
      </c>
      <c r="G883" s="20">
        <v>2148.59</v>
      </c>
      <c r="H883" s="20"/>
      <c r="I883" s="20"/>
      <c r="J883" s="20"/>
      <c r="K883" s="20"/>
    </row>
    <row r="884" spans="1:11" ht="19.5" customHeight="1" x14ac:dyDescent="0.3">
      <c r="A884" s="22">
        <v>46045.617182604168</v>
      </c>
      <c r="B884" s="25">
        <v>87.8</v>
      </c>
      <c r="C884" s="20">
        <v>80</v>
      </c>
      <c r="D884" s="20">
        <v>80.37</v>
      </c>
      <c r="E884" s="20">
        <v>-0.37</v>
      </c>
      <c r="F884" s="20">
        <v>0</v>
      </c>
      <c r="G884" s="20">
        <v>2143.66</v>
      </c>
      <c r="H884" s="20"/>
      <c r="I884" s="20"/>
      <c r="J884" s="20"/>
      <c r="K884" s="20"/>
    </row>
    <row r="885" spans="1:11" ht="19.5" customHeight="1" x14ac:dyDescent="0.3">
      <c r="A885" s="22">
        <v>46045.617183761577</v>
      </c>
      <c r="B885" s="20">
        <v>87.9</v>
      </c>
      <c r="C885" s="20">
        <v>80</v>
      </c>
      <c r="D885" s="20">
        <v>80.430000000000007</v>
      </c>
      <c r="E885" s="20">
        <v>-0.43</v>
      </c>
      <c r="F885" s="20">
        <v>-0.06</v>
      </c>
      <c r="G885" s="20">
        <v>2023.21</v>
      </c>
      <c r="H885" s="20"/>
      <c r="I885" s="20"/>
      <c r="J885" s="20"/>
      <c r="K885" s="20"/>
    </row>
    <row r="886" spans="1:11" ht="19.5" customHeight="1" x14ac:dyDescent="0.3">
      <c r="A886" s="22">
        <v>46045.617184918985</v>
      </c>
      <c r="B886" s="25">
        <v>88</v>
      </c>
      <c r="C886" s="20">
        <v>80</v>
      </c>
      <c r="D886" s="20">
        <v>80.42</v>
      </c>
      <c r="E886" s="20">
        <v>-0.42</v>
      </c>
      <c r="F886" s="20">
        <v>0.01</v>
      </c>
      <c r="G886" s="20">
        <v>2090.65</v>
      </c>
      <c r="H886" s="20"/>
      <c r="I886" s="20"/>
      <c r="J886" s="20"/>
      <c r="K886" s="20"/>
    </row>
    <row r="887" spans="1:11" ht="19.5" customHeight="1" x14ac:dyDescent="0.3">
      <c r="A887" s="22">
        <v>46045.617186076386</v>
      </c>
      <c r="B887" s="25">
        <v>88.1</v>
      </c>
      <c r="C887" s="20">
        <v>80</v>
      </c>
      <c r="D887" s="20">
        <v>80.39</v>
      </c>
      <c r="E887" s="20">
        <v>-0.39</v>
      </c>
      <c r="F887" s="20">
        <v>0.02</v>
      </c>
      <c r="G887" s="20">
        <v>2122.23</v>
      </c>
      <c r="H887" s="20"/>
      <c r="I887" s="20"/>
      <c r="J887" s="20"/>
      <c r="K887" s="20"/>
    </row>
    <row r="888" spans="1:11" ht="19.5" customHeight="1" x14ac:dyDescent="0.3">
      <c r="A888" s="22">
        <v>46045.617187233795</v>
      </c>
      <c r="B888" s="20">
        <v>88.2</v>
      </c>
      <c r="C888" s="20">
        <v>80</v>
      </c>
      <c r="D888" s="20">
        <v>80.37</v>
      </c>
      <c r="E888" s="20">
        <v>-0.37</v>
      </c>
      <c r="F888" s="20">
        <v>0.02</v>
      </c>
      <c r="G888" s="20">
        <v>2152.21</v>
      </c>
      <c r="H888" s="20"/>
      <c r="I888" s="20"/>
      <c r="J888" s="20"/>
      <c r="K888" s="20"/>
    </row>
    <row r="889" spans="1:11" ht="19.5" customHeight="1" x14ac:dyDescent="0.3">
      <c r="A889" s="22">
        <v>46045.617188391203</v>
      </c>
      <c r="B889" s="25">
        <v>88.3</v>
      </c>
      <c r="C889" s="20">
        <v>80</v>
      </c>
      <c r="D889" s="20">
        <v>80.349999999999994</v>
      </c>
      <c r="E889" s="20">
        <v>-0.35</v>
      </c>
      <c r="F889" s="20">
        <v>0.02</v>
      </c>
      <c r="G889" s="20">
        <v>2171.42</v>
      </c>
      <c r="H889" s="20"/>
      <c r="I889" s="20"/>
      <c r="J889" s="20"/>
      <c r="K889" s="20"/>
    </row>
    <row r="890" spans="1:11" ht="19.5" customHeight="1" x14ac:dyDescent="0.3">
      <c r="A890" s="22">
        <v>46045.617189548611</v>
      </c>
      <c r="B890" s="25">
        <v>88.4</v>
      </c>
      <c r="C890" s="20">
        <v>80</v>
      </c>
      <c r="D890" s="20">
        <v>80.34</v>
      </c>
      <c r="E890" s="20">
        <v>-0.34</v>
      </c>
      <c r="F890" s="20">
        <v>0.01</v>
      </c>
      <c r="G890" s="20">
        <v>2180.8200000000002</v>
      </c>
      <c r="H890" s="20"/>
      <c r="I890" s="20"/>
      <c r="J890" s="20"/>
      <c r="K890" s="20"/>
    </row>
    <row r="891" spans="1:11" ht="19.5" customHeight="1" x14ac:dyDescent="0.3">
      <c r="A891" s="22">
        <v>46045.61719070602</v>
      </c>
      <c r="B891" s="20">
        <v>88.5</v>
      </c>
      <c r="C891" s="20">
        <v>80</v>
      </c>
      <c r="D891" s="20">
        <v>80.31</v>
      </c>
      <c r="E891" s="20">
        <v>-0.31</v>
      </c>
      <c r="F891" s="20">
        <v>0.04</v>
      </c>
      <c r="G891" s="20">
        <v>2221.69</v>
      </c>
      <c r="H891" s="20"/>
      <c r="I891" s="20"/>
      <c r="J891" s="20"/>
      <c r="K891" s="20"/>
    </row>
    <row r="892" spans="1:11" ht="19.5" customHeight="1" x14ac:dyDescent="0.3">
      <c r="A892" s="22">
        <v>46045.617191863428</v>
      </c>
      <c r="B892" s="25">
        <v>88.6</v>
      </c>
      <c r="C892" s="20">
        <v>80</v>
      </c>
      <c r="D892" s="20">
        <v>80.319999999999993</v>
      </c>
      <c r="E892" s="20">
        <v>-0.32</v>
      </c>
      <c r="F892" s="20">
        <v>-0.01</v>
      </c>
      <c r="G892" s="20">
        <v>2205.5500000000002</v>
      </c>
      <c r="H892" s="20"/>
      <c r="I892" s="20"/>
      <c r="J892" s="20"/>
      <c r="K892" s="20"/>
    </row>
    <row r="893" spans="1:11" ht="19.5" customHeight="1" x14ac:dyDescent="0.3">
      <c r="A893" s="22">
        <v>46045.617193020837</v>
      </c>
      <c r="B893" s="20">
        <v>88.7</v>
      </c>
      <c r="C893" s="20">
        <v>80</v>
      </c>
      <c r="D893" s="20">
        <v>80.25</v>
      </c>
      <c r="E893" s="20">
        <v>-0.25</v>
      </c>
      <c r="F893" s="20">
        <v>0.06</v>
      </c>
      <c r="G893" s="20">
        <v>2281.9299999999998</v>
      </c>
      <c r="H893" s="20"/>
      <c r="I893" s="20"/>
      <c r="J893" s="20"/>
      <c r="K893" s="20"/>
    </row>
    <row r="894" spans="1:11" ht="19.5" customHeight="1" x14ac:dyDescent="0.3">
      <c r="A894" s="22">
        <v>46045.617194189814</v>
      </c>
      <c r="B894" s="25">
        <v>88.8</v>
      </c>
      <c r="C894" s="20">
        <v>80</v>
      </c>
      <c r="D894" s="20">
        <v>80.22</v>
      </c>
      <c r="E894" s="20">
        <v>-0.22</v>
      </c>
      <c r="F894" s="20">
        <v>0.03</v>
      </c>
      <c r="G894" s="20">
        <v>2315.1799999999998</v>
      </c>
      <c r="H894" s="20"/>
      <c r="I894" s="20"/>
      <c r="J894" s="20"/>
      <c r="K894" s="20"/>
    </row>
    <row r="895" spans="1:11" ht="19.5" customHeight="1" x14ac:dyDescent="0.3">
      <c r="A895" s="22">
        <v>46045.617195347222</v>
      </c>
      <c r="B895" s="25">
        <v>88.9</v>
      </c>
      <c r="C895" s="20">
        <v>80</v>
      </c>
      <c r="D895" s="20">
        <v>80.260000000000005</v>
      </c>
      <c r="E895" s="20">
        <v>-0.26</v>
      </c>
      <c r="F895" s="20">
        <v>-0.04</v>
      </c>
      <c r="G895" s="20">
        <v>2237.12</v>
      </c>
      <c r="H895" s="20"/>
      <c r="I895" s="20"/>
      <c r="J895" s="20"/>
      <c r="K895" s="20"/>
    </row>
    <row r="896" spans="1:11" ht="19.5" customHeight="1" x14ac:dyDescent="0.3">
      <c r="A896" s="22">
        <v>46045.617196504631</v>
      </c>
      <c r="B896" s="20">
        <v>89</v>
      </c>
      <c r="C896" s="20">
        <v>80</v>
      </c>
      <c r="D896" s="20">
        <v>80.239999999999995</v>
      </c>
      <c r="E896" s="20">
        <v>-0.24</v>
      </c>
      <c r="F896" s="20">
        <v>0.02</v>
      </c>
      <c r="G896" s="20">
        <v>2290.2800000000002</v>
      </c>
      <c r="H896" s="20"/>
      <c r="I896" s="20"/>
      <c r="J896" s="20"/>
      <c r="K896" s="20"/>
    </row>
    <row r="897" spans="1:11" ht="19.5" customHeight="1" x14ac:dyDescent="0.3">
      <c r="A897" s="22">
        <v>46045.617197650463</v>
      </c>
      <c r="B897" s="25">
        <v>89.1</v>
      </c>
      <c r="C897" s="20">
        <v>80</v>
      </c>
      <c r="D897" s="20">
        <v>80.22</v>
      </c>
      <c r="E897" s="20">
        <v>-0.22</v>
      </c>
      <c r="F897" s="20">
        <v>0.03</v>
      </c>
      <c r="G897" s="20">
        <v>2319.31</v>
      </c>
      <c r="H897" s="20"/>
      <c r="I897" s="20"/>
      <c r="J897" s="20"/>
      <c r="K897" s="20"/>
    </row>
    <row r="898" spans="1:11" ht="19.5" customHeight="1" x14ac:dyDescent="0.3">
      <c r="A898" s="22">
        <v>46045.617198819447</v>
      </c>
      <c r="B898" s="25">
        <v>89.2</v>
      </c>
      <c r="C898" s="20">
        <v>80</v>
      </c>
      <c r="D898" s="20">
        <v>80.180000000000007</v>
      </c>
      <c r="E898" s="20">
        <v>-0.18</v>
      </c>
      <c r="F898" s="20">
        <v>0.03</v>
      </c>
      <c r="G898" s="20">
        <v>2352.2399999999998</v>
      </c>
      <c r="H898" s="20"/>
      <c r="I898" s="20"/>
      <c r="J898" s="20"/>
      <c r="K898" s="20"/>
    </row>
    <row r="899" spans="1:11" ht="19.5" customHeight="1" x14ac:dyDescent="0.3">
      <c r="A899" s="22">
        <v>46045.61719996528</v>
      </c>
      <c r="B899" s="20">
        <v>89.3</v>
      </c>
      <c r="C899" s="20">
        <v>80</v>
      </c>
      <c r="D899" s="20">
        <v>80.16</v>
      </c>
      <c r="E899" s="20">
        <v>-0.16</v>
      </c>
      <c r="F899" s="20">
        <v>0.02</v>
      </c>
      <c r="G899" s="20">
        <v>2372.7800000000002</v>
      </c>
      <c r="H899" s="20"/>
      <c r="I899" s="20"/>
      <c r="J899" s="20"/>
      <c r="K899" s="20"/>
    </row>
    <row r="900" spans="1:11" ht="19.5" customHeight="1" x14ac:dyDescent="0.3">
      <c r="A900" s="22">
        <v>46045.617201122688</v>
      </c>
      <c r="B900" s="25">
        <v>89.4</v>
      </c>
      <c r="C900" s="20">
        <v>80</v>
      </c>
      <c r="D900" s="20">
        <v>80.19</v>
      </c>
      <c r="E900" s="20">
        <v>-0.19</v>
      </c>
      <c r="F900" s="20">
        <v>-0.03</v>
      </c>
      <c r="G900" s="20">
        <v>2317.9</v>
      </c>
      <c r="H900" s="20"/>
      <c r="I900" s="20"/>
      <c r="J900" s="20"/>
      <c r="K900" s="20"/>
    </row>
    <row r="901" spans="1:11" ht="19.5" customHeight="1" x14ac:dyDescent="0.3">
      <c r="A901" s="22">
        <v>46045.617202280089</v>
      </c>
      <c r="B901" s="20">
        <v>89.5</v>
      </c>
      <c r="C901" s="20">
        <v>80</v>
      </c>
      <c r="D901" s="20">
        <v>80.11</v>
      </c>
      <c r="E901" s="20">
        <v>-0.11</v>
      </c>
      <c r="F901" s="20">
        <v>0.08</v>
      </c>
      <c r="G901" s="20">
        <v>2422.3000000000002</v>
      </c>
      <c r="H901" s="20"/>
      <c r="I901" s="20"/>
      <c r="J901" s="20"/>
      <c r="K901" s="20"/>
    </row>
    <row r="902" spans="1:11" ht="19.5" customHeight="1" x14ac:dyDescent="0.3">
      <c r="A902" s="22">
        <v>46045.61720346065</v>
      </c>
      <c r="B902" s="25">
        <v>89.6</v>
      </c>
      <c r="C902" s="20">
        <v>80</v>
      </c>
      <c r="D902" s="20">
        <v>80.13</v>
      </c>
      <c r="E902" s="20">
        <v>-0.13</v>
      </c>
      <c r="F902" s="20">
        <v>-0.02</v>
      </c>
      <c r="G902" s="20">
        <v>2382.58</v>
      </c>
      <c r="H902" s="20"/>
      <c r="I902" s="20"/>
      <c r="J902" s="20"/>
      <c r="K902" s="20"/>
    </row>
    <row r="903" spans="1:11" ht="19.5" customHeight="1" x14ac:dyDescent="0.3">
      <c r="A903" s="22">
        <v>46045.617204606482</v>
      </c>
      <c r="B903" s="25">
        <v>89.7</v>
      </c>
      <c r="C903" s="20">
        <v>80</v>
      </c>
      <c r="D903" s="20">
        <v>80.09</v>
      </c>
      <c r="E903" s="20">
        <v>-0.09</v>
      </c>
      <c r="F903" s="20">
        <v>0.04</v>
      </c>
      <c r="G903" s="20">
        <v>2443.88</v>
      </c>
      <c r="H903" s="20"/>
      <c r="I903" s="20"/>
      <c r="J903" s="20"/>
      <c r="K903" s="20"/>
    </row>
    <row r="904" spans="1:11" ht="19.5" customHeight="1" x14ac:dyDescent="0.3">
      <c r="A904" s="22">
        <v>46045.617205752314</v>
      </c>
      <c r="B904" s="20">
        <v>89.8</v>
      </c>
      <c r="C904" s="20">
        <v>80</v>
      </c>
      <c r="D904" s="20">
        <v>80.14</v>
      </c>
      <c r="E904" s="20">
        <v>-0.14000000000000001</v>
      </c>
      <c r="F904" s="20">
        <v>-0.05</v>
      </c>
      <c r="G904" s="20">
        <v>2347.73</v>
      </c>
      <c r="H904" s="20"/>
      <c r="I904" s="20"/>
      <c r="J904" s="20"/>
      <c r="K904" s="20"/>
    </row>
    <row r="905" spans="1:11" ht="19.5" customHeight="1" x14ac:dyDescent="0.3">
      <c r="A905" s="22">
        <v>46045.61720695602</v>
      </c>
      <c r="B905" s="25">
        <v>89.9</v>
      </c>
      <c r="C905" s="20">
        <v>80</v>
      </c>
      <c r="D905" s="20">
        <v>80.12</v>
      </c>
      <c r="E905" s="20">
        <v>-0.12</v>
      </c>
      <c r="F905" s="20">
        <v>0.02</v>
      </c>
      <c r="G905" s="20">
        <v>2418.4299999999998</v>
      </c>
      <c r="H905" s="20"/>
      <c r="I905" s="20"/>
      <c r="J905" s="20"/>
      <c r="K905" s="20"/>
    </row>
    <row r="906" spans="1:11" ht="19.5" customHeight="1" x14ac:dyDescent="0.3">
      <c r="A906" s="22">
        <v>46045.617208067131</v>
      </c>
      <c r="B906" s="20">
        <v>90</v>
      </c>
      <c r="C906" s="20">
        <v>80</v>
      </c>
      <c r="D906" s="20">
        <v>80.16</v>
      </c>
      <c r="E906" s="20">
        <v>-0.16</v>
      </c>
      <c r="F906" s="20">
        <v>-0.04</v>
      </c>
      <c r="G906" s="20">
        <v>2331.36</v>
      </c>
      <c r="H906" s="20"/>
      <c r="I906" s="20"/>
      <c r="J906" s="20"/>
      <c r="K906" s="20"/>
    </row>
    <row r="907" spans="1:11" ht="19.5" customHeight="1" x14ac:dyDescent="0.3">
      <c r="A907" s="22">
        <v>46045.617209212964</v>
      </c>
      <c r="B907" s="25">
        <v>90.1</v>
      </c>
      <c r="C907" s="20">
        <v>80</v>
      </c>
      <c r="D907" s="20">
        <v>80.14</v>
      </c>
      <c r="E907" s="20">
        <v>-0.14000000000000001</v>
      </c>
      <c r="F907" s="20">
        <v>0.02</v>
      </c>
      <c r="G907" s="20">
        <v>2397.58</v>
      </c>
      <c r="H907" s="20"/>
      <c r="I907" s="20"/>
      <c r="J907" s="20"/>
      <c r="K907" s="20"/>
    </row>
    <row r="908" spans="1:11" ht="19.5" customHeight="1" x14ac:dyDescent="0.3">
      <c r="A908" s="22">
        <v>46045.617210381941</v>
      </c>
      <c r="B908" s="25">
        <v>90.2</v>
      </c>
      <c r="C908" s="20">
        <v>80</v>
      </c>
      <c r="D908" s="20">
        <v>80.19</v>
      </c>
      <c r="E908" s="20">
        <v>-0.19</v>
      </c>
      <c r="F908" s="20">
        <v>-0.05</v>
      </c>
      <c r="G908" s="20">
        <v>2303.44</v>
      </c>
      <c r="H908" s="20"/>
      <c r="I908" s="20"/>
      <c r="J908" s="20"/>
      <c r="K908" s="20"/>
    </row>
    <row r="909" spans="1:11" ht="19.5" customHeight="1" x14ac:dyDescent="0.3">
      <c r="A909" s="22">
        <v>46045.617211539349</v>
      </c>
      <c r="B909" s="20">
        <v>90.3</v>
      </c>
      <c r="C909" s="20">
        <v>80</v>
      </c>
      <c r="D909" s="20">
        <v>80.2</v>
      </c>
      <c r="E909" s="20">
        <v>-0.2</v>
      </c>
      <c r="F909" s="20">
        <v>-0.01</v>
      </c>
      <c r="G909" s="20">
        <v>2324.71</v>
      </c>
      <c r="H909" s="20"/>
      <c r="I909" s="20"/>
      <c r="J909" s="20"/>
      <c r="K909" s="20"/>
    </row>
    <row r="910" spans="1:11" ht="19.5" customHeight="1" x14ac:dyDescent="0.3">
      <c r="A910" s="22">
        <v>46045.617212696758</v>
      </c>
      <c r="B910" s="25">
        <v>90.4</v>
      </c>
      <c r="C910" s="20">
        <v>80</v>
      </c>
      <c r="D910" s="20">
        <v>80.2</v>
      </c>
      <c r="E910" s="20">
        <v>-0.2</v>
      </c>
      <c r="F910" s="20">
        <v>0</v>
      </c>
      <c r="G910" s="20">
        <v>2335.81</v>
      </c>
      <c r="H910" s="20"/>
      <c r="I910" s="20"/>
      <c r="J910" s="20"/>
      <c r="K910" s="20"/>
    </row>
    <row r="911" spans="1:11" ht="19.5" customHeight="1" x14ac:dyDescent="0.3">
      <c r="A911" s="22">
        <v>46045.617213854166</v>
      </c>
      <c r="B911" s="20">
        <v>90.5</v>
      </c>
      <c r="C911" s="20">
        <v>80</v>
      </c>
      <c r="D911" s="20">
        <v>80.25</v>
      </c>
      <c r="E911" s="20">
        <v>-0.25</v>
      </c>
      <c r="F911" s="20">
        <v>-0.05</v>
      </c>
      <c r="G911" s="20">
        <v>2242.33</v>
      </c>
      <c r="H911" s="20"/>
      <c r="I911" s="20"/>
      <c r="J911" s="20"/>
      <c r="K911" s="20"/>
    </row>
    <row r="912" spans="1:11" ht="19.5" customHeight="1" x14ac:dyDescent="0.3">
      <c r="A912" s="22">
        <v>46045.617215034719</v>
      </c>
      <c r="B912" s="25">
        <v>90.6</v>
      </c>
      <c r="C912" s="20">
        <v>80</v>
      </c>
      <c r="D912" s="20">
        <v>80.209999999999994</v>
      </c>
      <c r="E912" s="20">
        <v>-0.21</v>
      </c>
      <c r="F912" s="20">
        <v>0.04</v>
      </c>
      <c r="G912" s="20">
        <v>2327.59</v>
      </c>
      <c r="H912" s="20"/>
      <c r="I912" s="20"/>
      <c r="J912" s="20"/>
      <c r="K912" s="20"/>
    </row>
    <row r="913" spans="1:11" ht="19.5" customHeight="1" x14ac:dyDescent="0.3">
      <c r="A913" s="22">
        <v>46045.617216168983</v>
      </c>
      <c r="B913" s="25">
        <v>90.7</v>
      </c>
      <c r="C913" s="20">
        <v>80</v>
      </c>
      <c r="D913" s="20">
        <v>80.25</v>
      </c>
      <c r="E913" s="20">
        <v>-0.25</v>
      </c>
      <c r="F913" s="20">
        <v>-0.04</v>
      </c>
      <c r="G913" s="20">
        <v>2249.63</v>
      </c>
      <c r="H913" s="20"/>
      <c r="I913" s="20"/>
      <c r="J913" s="20"/>
      <c r="K913" s="20"/>
    </row>
    <row r="914" spans="1:11" ht="19.5" customHeight="1" x14ac:dyDescent="0.3">
      <c r="A914" s="22">
        <v>46045.617217326391</v>
      </c>
      <c r="B914" s="20">
        <v>90.8</v>
      </c>
      <c r="C914" s="20">
        <v>80</v>
      </c>
      <c r="D914" s="20">
        <v>80.239999999999995</v>
      </c>
      <c r="E914" s="20">
        <v>-0.24</v>
      </c>
      <c r="F914" s="20">
        <v>0.01</v>
      </c>
      <c r="G914" s="20">
        <v>2298.62</v>
      </c>
      <c r="H914" s="20"/>
      <c r="I914" s="20"/>
      <c r="J914" s="20"/>
      <c r="K914" s="20"/>
    </row>
    <row r="915" spans="1:11" ht="19.5" customHeight="1" x14ac:dyDescent="0.3">
      <c r="A915" s="22">
        <v>46045.6172184838</v>
      </c>
      <c r="B915" s="25">
        <v>90.9</v>
      </c>
      <c r="C915" s="20">
        <v>80</v>
      </c>
      <c r="D915" s="20">
        <v>80.25</v>
      </c>
      <c r="E915" s="20">
        <v>-0.25</v>
      </c>
      <c r="F915" s="20">
        <v>-0.02</v>
      </c>
      <c r="G915" s="20">
        <v>2267.34</v>
      </c>
      <c r="H915" s="20"/>
      <c r="I915" s="20"/>
      <c r="J915" s="20"/>
      <c r="K915" s="20"/>
    </row>
    <row r="916" spans="1:11" ht="19.5" customHeight="1" x14ac:dyDescent="0.3">
      <c r="A916" s="22">
        <v>46045.617219629632</v>
      </c>
      <c r="B916" s="25">
        <v>91</v>
      </c>
      <c r="C916" s="20">
        <v>80</v>
      </c>
      <c r="D916" s="20">
        <v>80.28</v>
      </c>
      <c r="E916" s="20">
        <v>-0.28000000000000003</v>
      </c>
      <c r="F916" s="20">
        <v>-0.02</v>
      </c>
      <c r="G916" s="20">
        <v>2234.71</v>
      </c>
      <c r="H916" s="20"/>
      <c r="I916" s="20"/>
      <c r="J916" s="20"/>
      <c r="K916" s="20"/>
    </row>
    <row r="917" spans="1:11" ht="19.5" customHeight="1" x14ac:dyDescent="0.3">
      <c r="A917" s="22">
        <v>46045.617220821761</v>
      </c>
      <c r="B917" s="20">
        <v>91.1</v>
      </c>
      <c r="C917" s="20">
        <v>80</v>
      </c>
      <c r="D917" s="20">
        <v>80.27</v>
      </c>
      <c r="E917" s="20">
        <v>-0.27</v>
      </c>
      <c r="F917" s="20">
        <v>0.01</v>
      </c>
      <c r="G917" s="20">
        <v>2265.02</v>
      </c>
      <c r="H917" s="20"/>
      <c r="I917" s="20"/>
      <c r="J917" s="20"/>
      <c r="K917" s="20"/>
    </row>
    <row r="918" spans="1:11" ht="19.5" customHeight="1" x14ac:dyDescent="0.3">
      <c r="A918" s="22">
        <v>46045.617221967594</v>
      </c>
      <c r="B918" s="25">
        <v>91.2</v>
      </c>
      <c r="C918" s="20">
        <v>80</v>
      </c>
      <c r="D918" s="20">
        <v>80.319999999999993</v>
      </c>
      <c r="E918" s="20">
        <v>-0.32</v>
      </c>
      <c r="F918" s="20">
        <v>-0.05</v>
      </c>
      <c r="G918" s="20">
        <v>2161.38</v>
      </c>
      <c r="H918" s="20"/>
      <c r="I918" s="20"/>
      <c r="J918" s="20"/>
      <c r="K918" s="20"/>
    </row>
    <row r="919" spans="1:11" ht="19.5" customHeight="1" x14ac:dyDescent="0.3">
      <c r="A919" s="22">
        <v>46045.617223113426</v>
      </c>
      <c r="B919" s="20">
        <v>91.3</v>
      </c>
      <c r="C919" s="20">
        <v>80</v>
      </c>
      <c r="D919" s="20">
        <v>80.33</v>
      </c>
      <c r="E919" s="20">
        <v>-0.33</v>
      </c>
      <c r="F919" s="20">
        <v>-0.01</v>
      </c>
      <c r="G919" s="20">
        <v>2192.0300000000002</v>
      </c>
      <c r="H919" s="20"/>
      <c r="I919" s="20"/>
      <c r="J919" s="20"/>
      <c r="K919" s="20"/>
    </row>
    <row r="920" spans="1:11" ht="19.5" customHeight="1" x14ac:dyDescent="0.3">
      <c r="A920" s="22">
        <v>46045.617224270834</v>
      </c>
      <c r="B920" s="25">
        <v>91.4</v>
      </c>
      <c r="C920" s="20">
        <v>80</v>
      </c>
      <c r="D920" s="20">
        <v>80.3</v>
      </c>
      <c r="E920" s="20">
        <v>-0.3</v>
      </c>
      <c r="F920" s="20">
        <v>0.02</v>
      </c>
      <c r="G920" s="20">
        <v>2226.12</v>
      </c>
      <c r="H920" s="20"/>
      <c r="I920" s="20"/>
      <c r="J920" s="20"/>
      <c r="K920" s="20"/>
    </row>
    <row r="921" spans="1:11" ht="19.5" customHeight="1" x14ac:dyDescent="0.3">
      <c r="A921" s="22">
        <v>46045.617225451388</v>
      </c>
      <c r="B921" s="25">
        <v>91.5</v>
      </c>
      <c r="C921" s="20">
        <v>80</v>
      </c>
      <c r="D921" s="20">
        <v>80.349999999999994</v>
      </c>
      <c r="E921" s="20">
        <v>-0.35</v>
      </c>
      <c r="F921" s="20">
        <v>-0.05</v>
      </c>
      <c r="G921" s="20">
        <v>2128.13</v>
      </c>
      <c r="H921" s="20"/>
      <c r="I921" s="20"/>
      <c r="J921" s="20"/>
      <c r="K921" s="20"/>
    </row>
    <row r="922" spans="1:11" ht="19.5" customHeight="1" x14ac:dyDescent="0.3">
      <c r="A922" s="22">
        <v>46045.61722659722</v>
      </c>
      <c r="B922" s="20">
        <v>91.6</v>
      </c>
      <c r="C922" s="20">
        <v>80</v>
      </c>
      <c r="D922" s="20">
        <v>80.36</v>
      </c>
      <c r="E922" s="20">
        <v>-0.36</v>
      </c>
      <c r="F922" s="20">
        <v>-0.01</v>
      </c>
      <c r="G922" s="20">
        <v>2146.23</v>
      </c>
      <c r="H922" s="20"/>
      <c r="I922" s="20"/>
      <c r="J922" s="20"/>
      <c r="K922" s="20"/>
    </row>
    <row r="923" spans="1:11" ht="19.5" customHeight="1" x14ac:dyDescent="0.3">
      <c r="A923" s="22">
        <v>46045.617227743052</v>
      </c>
      <c r="B923" s="25">
        <v>91.7</v>
      </c>
      <c r="C923" s="20">
        <v>80</v>
      </c>
      <c r="D923" s="20">
        <v>80.349999999999994</v>
      </c>
      <c r="E923" s="20">
        <v>-0.35</v>
      </c>
      <c r="F923" s="20">
        <v>0.02</v>
      </c>
      <c r="G923" s="20">
        <v>2176.14</v>
      </c>
      <c r="H923" s="20"/>
      <c r="I923" s="20"/>
      <c r="J923" s="20"/>
      <c r="K923" s="20"/>
    </row>
    <row r="924" spans="1:11" ht="19.5" customHeight="1" x14ac:dyDescent="0.3">
      <c r="A924" s="22">
        <v>46045.617228900461</v>
      </c>
      <c r="B924" s="20">
        <v>91.8</v>
      </c>
      <c r="C924" s="20">
        <v>80</v>
      </c>
      <c r="D924" s="20">
        <v>80.36</v>
      </c>
      <c r="E924" s="20">
        <v>-0.36</v>
      </c>
      <c r="F924" s="20">
        <v>-0.01</v>
      </c>
      <c r="G924" s="20">
        <v>2159.42</v>
      </c>
      <c r="H924" s="20"/>
      <c r="I924" s="20"/>
      <c r="J924" s="20"/>
      <c r="K924" s="20"/>
    </row>
    <row r="925" spans="1:11" ht="19.5" customHeight="1" x14ac:dyDescent="0.3">
      <c r="A925" s="22">
        <v>46045.617230081021</v>
      </c>
      <c r="B925" s="25">
        <v>91.9</v>
      </c>
      <c r="C925" s="20">
        <v>80</v>
      </c>
      <c r="D925" s="20">
        <v>80.349999999999994</v>
      </c>
      <c r="E925" s="20">
        <v>-0.35</v>
      </c>
      <c r="F925" s="20">
        <v>0.01</v>
      </c>
      <c r="G925" s="20">
        <v>2176.14</v>
      </c>
      <c r="H925" s="20"/>
      <c r="I925" s="20"/>
      <c r="J925" s="20"/>
      <c r="K925" s="20"/>
    </row>
    <row r="926" spans="1:11" ht="19.5" customHeight="1" x14ac:dyDescent="0.3">
      <c r="A926" s="22">
        <v>46045.617231203702</v>
      </c>
      <c r="B926" s="25">
        <v>92</v>
      </c>
      <c r="C926" s="20">
        <v>80</v>
      </c>
      <c r="D926" s="20">
        <v>80.3</v>
      </c>
      <c r="E926" s="20">
        <v>-0.3</v>
      </c>
      <c r="F926" s="20">
        <v>0.05</v>
      </c>
      <c r="G926" s="20">
        <v>2234.89</v>
      </c>
      <c r="H926" s="20"/>
      <c r="I926" s="20"/>
      <c r="J926" s="20"/>
      <c r="K926" s="20"/>
    </row>
    <row r="927" spans="1:11" ht="19.5" customHeight="1" x14ac:dyDescent="0.3">
      <c r="A927" s="22">
        <v>46045.617232372686</v>
      </c>
      <c r="B927" s="20">
        <v>92.1</v>
      </c>
      <c r="C927" s="20">
        <v>80</v>
      </c>
      <c r="D927" s="20">
        <v>80.3</v>
      </c>
      <c r="E927" s="20">
        <v>-0.3</v>
      </c>
      <c r="F927" s="20">
        <v>0</v>
      </c>
      <c r="G927" s="20">
        <v>2234.89</v>
      </c>
      <c r="H927" s="20"/>
      <c r="I927" s="20"/>
      <c r="J927" s="20"/>
      <c r="K927" s="20"/>
    </row>
    <row r="928" spans="1:11" ht="19.5" customHeight="1" x14ac:dyDescent="0.3">
      <c r="A928" s="22">
        <v>46045.617233530094</v>
      </c>
      <c r="B928" s="25">
        <v>92.2</v>
      </c>
      <c r="C928" s="20">
        <v>80</v>
      </c>
      <c r="D928" s="20">
        <v>80.319999999999993</v>
      </c>
      <c r="E928" s="20">
        <v>-0.32</v>
      </c>
      <c r="F928" s="20">
        <v>-0.02</v>
      </c>
      <c r="G928" s="20">
        <v>2194.69</v>
      </c>
      <c r="H928" s="20"/>
      <c r="I928" s="20"/>
      <c r="J928" s="20"/>
      <c r="K928" s="20"/>
    </row>
    <row r="929" spans="1:11" ht="19.5" customHeight="1" x14ac:dyDescent="0.3">
      <c r="A929" s="22">
        <v>46045.617234699072</v>
      </c>
      <c r="B929" s="25">
        <v>92.3</v>
      </c>
      <c r="C929" s="20">
        <v>80</v>
      </c>
      <c r="D929" s="20">
        <v>80.3</v>
      </c>
      <c r="E929" s="20">
        <v>-0.3</v>
      </c>
      <c r="F929" s="20">
        <v>0.02</v>
      </c>
      <c r="G929" s="20">
        <v>2234.89</v>
      </c>
      <c r="H929" s="20"/>
      <c r="I929" s="20"/>
      <c r="J929" s="20"/>
      <c r="K929" s="20"/>
    </row>
    <row r="930" spans="1:11" ht="19.5" customHeight="1" x14ac:dyDescent="0.3">
      <c r="A930" s="22">
        <v>46045.617235844904</v>
      </c>
      <c r="B930" s="20">
        <v>92.4</v>
      </c>
      <c r="C930" s="20">
        <v>80</v>
      </c>
      <c r="D930" s="20">
        <v>80.28</v>
      </c>
      <c r="E930" s="20">
        <v>-0.28000000000000003</v>
      </c>
      <c r="F930" s="20">
        <v>0.01</v>
      </c>
      <c r="G930" s="20">
        <v>2247.92</v>
      </c>
      <c r="H930" s="20"/>
      <c r="I930" s="20"/>
      <c r="J930" s="20"/>
      <c r="K930" s="20"/>
    </row>
    <row r="931" spans="1:11" ht="19.5" customHeight="1" x14ac:dyDescent="0.3">
      <c r="A931" s="22">
        <v>46045.617237002312</v>
      </c>
      <c r="B931" s="25">
        <v>92.5</v>
      </c>
      <c r="C931" s="20">
        <v>80</v>
      </c>
      <c r="D931" s="20">
        <v>80.260000000000005</v>
      </c>
      <c r="E931" s="20">
        <v>-0.26</v>
      </c>
      <c r="F931" s="20">
        <v>0.03</v>
      </c>
      <c r="G931" s="20">
        <v>2277.73</v>
      </c>
      <c r="H931" s="20"/>
      <c r="I931" s="20"/>
      <c r="J931" s="20"/>
      <c r="K931" s="20"/>
    </row>
    <row r="932" spans="1:11" ht="19.5" customHeight="1" x14ac:dyDescent="0.3">
      <c r="A932" s="22">
        <v>46045.617238159721</v>
      </c>
      <c r="B932" s="20">
        <v>92.6</v>
      </c>
      <c r="C932" s="20">
        <v>80</v>
      </c>
      <c r="D932" s="20">
        <v>80.25</v>
      </c>
      <c r="E932" s="20">
        <v>-0.25</v>
      </c>
      <c r="F932" s="20">
        <v>0.01</v>
      </c>
      <c r="G932" s="20">
        <v>2286.12</v>
      </c>
      <c r="H932" s="20"/>
      <c r="I932" s="20"/>
      <c r="J932" s="20"/>
      <c r="K932" s="20"/>
    </row>
    <row r="933" spans="1:11" ht="19.5" customHeight="1" x14ac:dyDescent="0.3">
      <c r="A933" s="22">
        <v>46045.617239317129</v>
      </c>
      <c r="B933" s="25">
        <v>92.7</v>
      </c>
      <c r="C933" s="20">
        <v>80</v>
      </c>
      <c r="D933" s="20">
        <v>80.239999999999995</v>
      </c>
      <c r="E933" s="20">
        <v>-0.24</v>
      </c>
      <c r="F933" s="20">
        <v>0</v>
      </c>
      <c r="G933" s="20">
        <v>2290.2800000000002</v>
      </c>
      <c r="H933" s="20"/>
      <c r="I933" s="20"/>
      <c r="J933" s="20"/>
      <c r="K933" s="20"/>
    </row>
    <row r="934" spans="1:11" ht="19.5" customHeight="1" x14ac:dyDescent="0.3">
      <c r="A934" s="22">
        <v>46045.617240486114</v>
      </c>
      <c r="B934" s="25">
        <v>92.8</v>
      </c>
      <c r="C934" s="20">
        <v>80</v>
      </c>
      <c r="D934" s="20">
        <v>80.2</v>
      </c>
      <c r="E934" s="20">
        <v>-0.2</v>
      </c>
      <c r="F934" s="20">
        <v>0.04</v>
      </c>
      <c r="G934" s="20">
        <v>2331.6999999999998</v>
      </c>
      <c r="H934" s="20"/>
      <c r="I934" s="20"/>
      <c r="J934" s="20"/>
      <c r="K934" s="20"/>
    </row>
    <row r="935" spans="1:11" ht="19.5" customHeight="1" x14ac:dyDescent="0.3">
      <c r="A935" s="22">
        <v>46045.617241643522</v>
      </c>
      <c r="B935" s="20">
        <v>92.9</v>
      </c>
      <c r="C935" s="20">
        <v>80</v>
      </c>
      <c r="D935" s="20">
        <v>80.209999999999994</v>
      </c>
      <c r="E935" s="20">
        <v>-0.21</v>
      </c>
      <c r="F935" s="20">
        <v>-0.01</v>
      </c>
      <c r="G935" s="20">
        <v>2316.04</v>
      </c>
      <c r="H935" s="20"/>
      <c r="I935" s="20"/>
      <c r="J935" s="20"/>
      <c r="K935" s="20"/>
    </row>
    <row r="936" spans="1:11" ht="19.5" customHeight="1" x14ac:dyDescent="0.3">
      <c r="A936" s="22">
        <v>46045.617242800923</v>
      </c>
      <c r="B936" s="25">
        <v>93</v>
      </c>
      <c r="C936" s="20">
        <v>80</v>
      </c>
      <c r="D936" s="20">
        <v>80.19</v>
      </c>
      <c r="E936" s="20">
        <v>-0.19</v>
      </c>
      <c r="F936" s="20">
        <v>0.02</v>
      </c>
      <c r="G936" s="20">
        <v>2348.12</v>
      </c>
      <c r="H936" s="20"/>
      <c r="I936" s="20"/>
      <c r="J936" s="20"/>
      <c r="K936" s="20"/>
    </row>
    <row r="937" spans="1:11" ht="19.5" customHeight="1" x14ac:dyDescent="0.3">
      <c r="A937" s="22">
        <v>46045.617243946763</v>
      </c>
      <c r="B937" s="20">
        <v>93.1</v>
      </c>
      <c r="C937" s="20">
        <v>80</v>
      </c>
      <c r="D937" s="20">
        <v>80.209999999999994</v>
      </c>
      <c r="E937" s="20">
        <v>-0.21</v>
      </c>
      <c r="F937" s="20">
        <v>-0.02</v>
      </c>
      <c r="G937" s="20">
        <v>2301.25</v>
      </c>
      <c r="H937" s="20"/>
      <c r="I937" s="20"/>
      <c r="J937" s="20"/>
      <c r="K937" s="20"/>
    </row>
    <row r="938" spans="1:11" ht="19.5" customHeight="1" x14ac:dyDescent="0.3">
      <c r="A938" s="22">
        <v>46045.617245104164</v>
      </c>
      <c r="B938" s="25">
        <v>93.2</v>
      </c>
      <c r="C938" s="20">
        <v>80</v>
      </c>
      <c r="D938" s="20">
        <v>80.2</v>
      </c>
      <c r="E938" s="20">
        <v>-0.2</v>
      </c>
      <c r="F938" s="20">
        <v>0.01</v>
      </c>
      <c r="G938" s="20">
        <v>2335.81</v>
      </c>
      <c r="H938" s="20"/>
      <c r="I938" s="20"/>
      <c r="J938" s="20"/>
      <c r="K938" s="20"/>
    </row>
    <row r="939" spans="1:11" ht="19.5" customHeight="1" x14ac:dyDescent="0.3">
      <c r="A939" s="22">
        <v>46045.617246273148</v>
      </c>
      <c r="B939" s="25">
        <v>93.3</v>
      </c>
      <c r="C939" s="20">
        <v>80</v>
      </c>
      <c r="D939" s="20">
        <v>80.150000000000006</v>
      </c>
      <c r="E939" s="20">
        <v>-0.15</v>
      </c>
      <c r="F939" s="20">
        <v>0.05</v>
      </c>
      <c r="G939" s="20">
        <v>2389.27</v>
      </c>
      <c r="H939" s="20"/>
      <c r="I939" s="20"/>
      <c r="J939" s="20"/>
      <c r="K939" s="20"/>
    </row>
    <row r="940" spans="1:11" ht="19.5" customHeight="1" x14ac:dyDescent="0.3">
      <c r="A940" s="22">
        <v>46045.617247418981</v>
      </c>
      <c r="B940" s="20">
        <v>93.4</v>
      </c>
      <c r="C940" s="20">
        <v>80</v>
      </c>
      <c r="D940" s="20">
        <v>80.16</v>
      </c>
      <c r="E940" s="20">
        <v>-0.16</v>
      </c>
      <c r="F940" s="20">
        <v>-0.01</v>
      </c>
      <c r="G940" s="20">
        <v>2365.61</v>
      </c>
      <c r="H940" s="20"/>
      <c r="I940" s="20"/>
      <c r="J940" s="20"/>
      <c r="K940" s="20"/>
    </row>
    <row r="941" spans="1:11" ht="19.5" customHeight="1" x14ac:dyDescent="0.3">
      <c r="A941" s="22">
        <v>46045.617248599534</v>
      </c>
      <c r="B941" s="25">
        <v>93.5</v>
      </c>
      <c r="C941" s="20">
        <v>80</v>
      </c>
      <c r="D941" s="20">
        <v>80.17</v>
      </c>
      <c r="E941" s="20">
        <v>-0.17</v>
      </c>
      <c r="F941" s="20">
        <v>-0.02</v>
      </c>
      <c r="G941" s="20">
        <v>2345.4699999999998</v>
      </c>
      <c r="H941" s="20"/>
      <c r="I941" s="20"/>
      <c r="J941" s="20"/>
      <c r="K941" s="20"/>
    </row>
    <row r="942" spans="1:11" ht="19.5" customHeight="1" x14ac:dyDescent="0.3">
      <c r="A942" s="22">
        <v>46045.617249733798</v>
      </c>
      <c r="B942" s="25">
        <v>93.6</v>
      </c>
      <c r="C942" s="20">
        <v>80</v>
      </c>
      <c r="D942" s="20">
        <v>80.17</v>
      </c>
      <c r="E942" s="20">
        <v>-0.17</v>
      </c>
      <c r="F942" s="20">
        <v>0.01</v>
      </c>
      <c r="G942" s="20">
        <v>2368.64</v>
      </c>
      <c r="H942" s="20"/>
      <c r="I942" s="20"/>
      <c r="J942" s="20"/>
      <c r="K942" s="20"/>
    </row>
    <row r="943" spans="1:11" ht="19.5" customHeight="1" x14ac:dyDescent="0.3">
      <c r="A943" s="22">
        <v>46045.617250891206</v>
      </c>
      <c r="B943" s="20">
        <v>93.7</v>
      </c>
      <c r="C943" s="20">
        <v>80</v>
      </c>
      <c r="D943" s="20">
        <v>80.180000000000007</v>
      </c>
      <c r="E943" s="20">
        <v>-0.18</v>
      </c>
      <c r="F943" s="20">
        <v>-0.01</v>
      </c>
      <c r="G943" s="20">
        <v>2345.15</v>
      </c>
      <c r="H943" s="20"/>
      <c r="I943" s="20"/>
      <c r="J943" s="20"/>
      <c r="K943" s="20"/>
    </row>
    <row r="944" spans="1:11" ht="19.5" customHeight="1" x14ac:dyDescent="0.3">
      <c r="A944" s="22">
        <v>46045.617252048614</v>
      </c>
      <c r="B944" s="25">
        <v>93.8</v>
      </c>
      <c r="C944" s="20">
        <v>80</v>
      </c>
      <c r="D944" s="20">
        <v>80.19</v>
      </c>
      <c r="E944" s="20">
        <v>-0.19</v>
      </c>
      <c r="F944" s="20">
        <v>-0.02</v>
      </c>
      <c r="G944" s="20">
        <v>2325.04</v>
      </c>
      <c r="H944" s="20"/>
      <c r="I944" s="20"/>
      <c r="J944" s="20"/>
      <c r="K944" s="20"/>
    </row>
    <row r="945" spans="1:11" ht="19.5" customHeight="1" x14ac:dyDescent="0.3">
      <c r="A945" s="22">
        <v>46045.617253206015</v>
      </c>
      <c r="B945" s="20">
        <v>93.9</v>
      </c>
      <c r="C945" s="20">
        <v>80</v>
      </c>
      <c r="D945" s="20">
        <v>80.13</v>
      </c>
      <c r="E945" s="20">
        <v>-0.13</v>
      </c>
      <c r="F945" s="20">
        <v>0.06</v>
      </c>
      <c r="G945" s="20">
        <v>2401.75</v>
      </c>
      <c r="H945" s="20"/>
      <c r="I945" s="20"/>
      <c r="J945" s="20"/>
      <c r="K945" s="20"/>
    </row>
    <row r="946" spans="1:11" ht="19.5" customHeight="1" x14ac:dyDescent="0.3">
      <c r="A946" s="22">
        <v>46045.617254363424</v>
      </c>
      <c r="B946" s="25">
        <v>94</v>
      </c>
      <c r="C946" s="20">
        <v>80</v>
      </c>
      <c r="D946" s="20">
        <v>80.17</v>
      </c>
      <c r="E946" s="20">
        <v>-0.17</v>
      </c>
      <c r="F946" s="20">
        <v>-0.03</v>
      </c>
      <c r="G946" s="20">
        <v>2338.54</v>
      </c>
      <c r="H946" s="20"/>
      <c r="I946" s="20"/>
      <c r="J946" s="20"/>
      <c r="K946" s="20"/>
    </row>
    <row r="947" spans="1:11" ht="19.5" customHeight="1" x14ac:dyDescent="0.3">
      <c r="A947" s="22">
        <v>46045.617255520832</v>
      </c>
      <c r="B947" s="25">
        <v>94.1</v>
      </c>
      <c r="C947" s="20">
        <v>80</v>
      </c>
      <c r="D947" s="20">
        <v>80.16</v>
      </c>
      <c r="E947" s="20">
        <v>-0.16</v>
      </c>
      <c r="F947" s="20">
        <v>0.01</v>
      </c>
      <c r="G947" s="20">
        <v>2376.91</v>
      </c>
      <c r="H947" s="20"/>
      <c r="I947" s="20"/>
      <c r="J947" s="20"/>
      <c r="K947" s="20"/>
    </row>
    <row r="948" spans="1:11" ht="19.5" customHeight="1" x14ac:dyDescent="0.3">
      <c r="A948" s="22">
        <v>46045.617256689817</v>
      </c>
      <c r="B948" s="20">
        <v>94.2</v>
      </c>
      <c r="C948" s="20">
        <v>80</v>
      </c>
      <c r="D948" s="20">
        <v>80.180000000000007</v>
      </c>
      <c r="E948" s="20">
        <v>-0.18</v>
      </c>
      <c r="F948" s="20">
        <v>-0.02</v>
      </c>
      <c r="G948" s="20">
        <v>2329.8200000000002</v>
      </c>
      <c r="H948" s="20"/>
      <c r="I948" s="20"/>
      <c r="J948" s="20"/>
      <c r="K948" s="20"/>
    </row>
    <row r="949" spans="1:11" ht="19.5" customHeight="1" x14ac:dyDescent="0.3">
      <c r="A949" s="22">
        <v>46045.617257847225</v>
      </c>
      <c r="B949" s="25">
        <v>94.3</v>
      </c>
      <c r="C949" s="20">
        <v>80</v>
      </c>
      <c r="D949" s="20">
        <v>80.19</v>
      </c>
      <c r="E949" s="20">
        <v>-0.19</v>
      </c>
      <c r="F949" s="20">
        <v>-0.01</v>
      </c>
      <c r="G949" s="20">
        <v>2336.5500000000002</v>
      </c>
      <c r="H949" s="20"/>
      <c r="I949" s="20"/>
      <c r="J949" s="20"/>
      <c r="K949" s="20"/>
    </row>
    <row r="950" spans="1:11" ht="19.5" customHeight="1" x14ac:dyDescent="0.3">
      <c r="A950" s="22">
        <v>46045.617259004626</v>
      </c>
      <c r="B950" s="25">
        <v>94.4</v>
      </c>
      <c r="C950" s="20">
        <v>80</v>
      </c>
      <c r="D950" s="20">
        <v>80.23</v>
      </c>
      <c r="E950" s="20">
        <v>-0.23</v>
      </c>
      <c r="F950" s="20">
        <v>-0.04</v>
      </c>
      <c r="G950" s="20">
        <v>2273.89</v>
      </c>
      <c r="H950" s="20"/>
      <c r="I950" s="20"/>
      <c r="J950" s="20"/>
      <c r="K950" s="20"/>
    </row>
    <row r="951" spans="1:11" ht="19.5" customHeight="1" x14ac:dyDescent="0.3">
      <c r="A951" s="22">
        <v>46045.617260150466</v>
      </c>
      <c r="B951" s="20">
        <v>94.5</v>
      </c>
      <c r="C951" s="20">
        <v>80</v>
      </c>
      <c r="D951" s="20">
        <v>80.180000000000007</v>
      </c>
      <c r="E951" s="20">
        <v>-0.18</v>
      </c>
      <c r="F951" s="20">
        <v>0.05</v>
      </c>
      <c r="G951" s="20">
        <v>2356.35</v>
      </c>
      <c r="H951" s="20"/>
      <c r="I951" s="20"/>
      <c r="J951" s="20"/>
      <c r="K951" s="20"/>
    </row>
    <row r="952" spans="1:11" ht="19.5" customHeight="1" x14ac:dyDescent="0.3">
      <c r="A952" s="22">
        <v>46045.617261307867</v>
      </c>
      <c r="B952" s="25">
        <v>94.6</v>
      </c>
      <c r="C952" s="20">
        <v>80</v>
      </c>
      <c r="D952" s="20">
        <v>80.19</v>
      </c>
      <c r="E952" s="20">
        <v>-0.19</v>
      </c>
      <c r="F952" s="20">
        <v>-0.01</v>
      </c>
      <c r="G952" s="20">
        <v>2332.86</v>
      </c>
      <c r="H952" s="20"/>
      <c r="I952" s="20"/>
      <c r="J952" s="20"/>
      <c r="K952" s="20"/>
    </row>
    <row r="953" spans="1:11" ht="19.5" customHeight="1" x14ac:dyDescent="0.3">
      <c r="A953" s="22">
        <v>46045.617262465275</v>
      </c>
      <c r="B953" s="20">
        <v>94.7</v>
      </c>
      <c r="C953" s="20">
        <v>80</v>
      </c>
      <c r="D953" s="20">
        <v>80.260000000000005</v>
      </c>
      <c r="E953" s="20">
        <v>-0.26</v>
      </c>
      <c r="F953" s="20">
        <v>-7.0000000000000007E-2</v>
      </c>
      <c r="G953" s="20">
        <v>2211.79</v>
      </c>
      <c r="H953" s="20"/>
      <c r="I953" s="20"/>
      <c r="J953" s="20"/>
      <c r="K953" s="20"/>
    </row>
    <row r="954" spans="1:11" ht="19.5" customHeight="1" x14ac:dyDescent="0.3">
      <c r="A954" s="22">
        <v>46045.617263622684</v>
      </c>
      <c r="B954" s="25">
        <v>94.8</v>
      </c>
      <c r="C954" s="20">
        <v>80</v>
      </c>
      <c r="D954" s="20">
        <v>80.260000000000005</v>
      </c>
      <c r="E954" s="20">
        <v>-0.26</v>
      </c>
      <c r="F954" s="20">
        <v>0</v>
      </c>
      <c r="G954" s="20">
        <v>2273.5</v>
      </c>
      <c r="H954" s="20"/>
      <c r="I954" s="20"/>
      <c r="J954" s="20"/>
      <c r="K954" s="20"/>
    </row>
    <row r="955" spans="1:11" ht="19.5" customHeight="1" x14ac:dyDescent="0.3">
      <c r="A955" s="22">
        <v>46045.617264780092</v>
      </c>
      <c r="B955" s="25">
        <v>94.9</v>
      </c>
      <c r="C955" s="20">
        <v>80</v>
      </c>
      <c r="D955" s="20">
        <v>80.28</v>
      </c>
      <c r="E955" s="20">
        <v>-0.28000000000000003</v>
      </c>
      <c r="F955" s="20">
        <v>-0.02</v>
      </c>
      <c r="G955" s="20">
        <v>2226.13</v>
      </c>
      <c r="H955" s="20"/>
      <c r="I955" s="20"/>
      <c r="J955" s="20"/>
      <c r="K955" s="20"/>
    </row>
    <row r="956" spans="1:11" ht="19.5" customHeight="1" x14ac:dyDescent="0.3">
      <c r="A956" s="22">
        <v>46045.617265937501</v>
      </c>
      <c r="B956" s="20">
        <v>95</v>
      </c>
      <c r="C956" s="20">
        <v>80</v>
      </c>
      <c r="D956" s="20">
        <v>80.260000000000005</v>
      </c>
      <c r="E956" s="20">
        <v>-0.26</v>
      </c>
      <c r="F956" s="20">
        <v>0.02</v>
      </c>
      <c r="G956" s="20">
        <v>2273.5</v>
      </c>
      <c r="H956" s="20"/>
      <c r="I956" s="20"/>
      <c r="J956" s="20"/>
      <c r="K956" s="20"/>
    </row>
    <row r="957" spans="1:11" ht="19.5" customHeight="1" x14ac:dyDescent="0.3">
      <c r="A957" s="22">
        <v>46045.617267106485</v>
      </c>
      <c r="B957" s="25">
        <v>95.1</v>
      </c>
      <c r="C957" s="20">
        <v>80</v>
      </c>
      <c r="D957" s="20">
        <v>80.31</v>
      </c>
      <c r="E957" s="20">
        <v>-0.31</v>
      </c>
      <c r="F957" s="20">
        <v>-0.05</v>
      </c>
      <c r="G957" s="20">
        <v>2170.27</v>
      </c>
      <c r="H957" s="20"/>
      <c r="I957" s="20"/>
      <c r="J957" s="20"/>
      <c r="K957" s="20"/>
    </row>
    <row r="958" spans="1:11" ht="19.5" customHeight="1" x14ac:dyDescent="0.3">
      <c r="A958" s="22">
        <v>46045.617268252317</v>
      </c>
      <c r="B958" s="20">
        <v>95.2</v>
      </c>
      <c r="C958" s="20">
        <v>80</v>
      </c>
      <c r="D958" s="20">
        <v>80.25</v>
      </c>
      <c r="E958" s="20">
        <v>-0.25</v>
      </c>
      <c r="F958" s="20">
        <v>0.06</v>
      </c>
      <c r="G958" s="20">
        <v>2286.12</v>
      </c>
      <c r="H958" s="20"/>
      <c r="I958" s="20"/>
      <c r="J958" s="20"/>
      <c r="K958" s="20"/>
    </row>
    <row r="959" spans="1:11" ht="19.5" customHeight="1" x14ac:dyDescent="0.3">
      <c r="A959" s="22">
        <v>46045.617269421295</v>
      </c>
      <c r="B959" s="25">
        <v>95.3</v>
      </c>
      <c r="C959" s="20">
        <v>80</v>
      </c>
      <c r="D959" s="20">
        <v>80.34</v>
      </c>
      <c r="E959" s="20">
        <v>-0.34</v>
      </c>
      <c r="F959" s="20">
        <v>-0.09</v>
      </c>
      <c r="G959" s="20">
        <v>2102.96</v>
      </c>
      <c r="H959" s="20"/>
      <c r="I959" s="20"/>
      <c r="J959" s="20"/>
      <c r="K959" s="20"/>
    </row>
    <row r="960" spans="1:11" ht="19.5" customHeight="1" x14ac:dyDescent="0.3">
      <c r="A960" s="22">
        <v>46045.617270590279</v>
      </c>
      <c r="B960" s="25">
        <v>95.4</v>
      </c>
      <c r="C960" s="20">
        <v>80</v>
      </c>
      <c r="D960" s="20">
        <v>80.28</v>
      </c>
      <c r="E960" s="20">
        <v>-0.28000000000000003</v>
      </c>
      <c r="F960" s="20">
        <v>0.06</v>
      </c>
      <c r="G960" s="20">
        <v>2247.92</v>
      </c>
      <c r="H960" s="20"/>
      <c r="I960" s="20"/>
      <c r="J960" s="20"/>
      <c r="K960" s="20"/>
    </row>
    <row r="961" spans="1:11" ht="19.5" customHeight="1" x14ac:dyDescent="0.3">
      <c r="A961" s="22">
        <v>46045.617271724535</v>
      </c>
      <c r="B961" s="20">
        <v>95.5</v>
      </c>
      <c r="C961" s="20">
        <v>80</v>
      </c>
      <c r="D961" s="20">
        <v>80.319999999999993</v>
      </c>
      <c r="E961" s="20">
        <v>-0.32</v>
      </c>
      <c r="F961" s="20">
        <v>-0.03</v>
      </c>
      <c r="G961" s="20">
        <v>2183.84</v>
      </c>
      <c r="H961" s="20"/>
      <c r="I961" s="20"/>
      <c r="J961" s="20"/>
      <c r="K961" s="20"/>
    </row>
    <row r="962" spans="1:11" ht="19.5" customHeight="1" x14ac:dyDescent="0.3">
      <c r="A962" s="22">
        <v>46045.617272881944</v>
      </c>
      <c r="B962" s="25">
        <v>95.6</v>
      </c>
      <c r="C962" s="20">
        <v>80</v>
      </c>
      <c r="D962" s="20">
        <v>80.3</v>
      </c>
      <c r="E962" s="20">
        <v>-0.3</v>
      </c>
      <c r="F962" s="20">
        <v>0.01</v>
      </c>
      <c r="G962" s="20">
        <v>2226.12</v>
      </c>
      <c r="H962" s="20"/>
      <c r="I962" s="20"/>
      <c r="J962" s="20"/>
      <c r="K962" s="20"/>
    </row>
    <row r="963" spans="1:11" ht="19.5" customHeight="1" x14ac:dyDescent="0.3">
      <c r="A963" s="22">
        <v>46045.617274039352</v>
      </c>
      <c r="B963" s="20">
        <v>95.7</v>
      </c>
      <c r="C963" s="20">
        <v>80</v>
      </c>
      <c r="D963" s="20">
        <v>80.34</v>
      </c>
      <c r="E963" s="20">
        <v>-0.34</v>
      </c>
      <c r="F963" s="20">
        <v>-0.04</v>
      </c>
      <c r="G963" s="20">
        <v>2152.9699999999998</v>
      </c>
      <c r="H963" s="20"/>
      <c r="I963" s="20"/>
      <c r="J963" s="20"/>
      <c r="K963" s="20"/>
    </row>
    <row r="964" spans="1:11" ht="19.5" customHeight="1" x14ac:dyDescent="0.3">
      <c r="A964" s="22">
        <v>46045.617275208337</v>
      </c>
      <c r="B964" s="25">
        <v>95.8</v>
      </c>
      <c r="C964" s="20">
        <v>80</v>
      </c>
      <c r="D964" s="20">
        <v>80.319999999999993</v>
      </c>
      <c r="E964" s="20">
        <v>-0.32</v>
      </c>
      <c r="F964" s="20">
        <v>0.02</v>
      </c>
      <c r="G964" s="20">
        <v>2208.31</v>
      </c>
      <c r="H964" s="20"/>
      <c r="I964" s="20"/>
      <c r="J964" s="20"/>
      <c r="K964" s="20"/>
    </row>
    <row r="965" spans="1:11" ht="19.5" customHeight="1" x14ac:dyDescent="0.3">
      <c r="A965" s="22">
        <v>46045.617276354169</v>
      </c>
      <c r="B965" s="25">
        <v>95.9</v>
      </c>
      <c r="C965" s="20">
        <v>80</v>
      </c>
      <c r="D965" s="20">
        <v>80.31</v>
      </c>
      <c r="E965" s="20">
        <v>-0.31</v>
      </c>
      <c r="F965" s="20">
        <v>0.01</v>
      </c>
      <c r="G965" s="20">
        <v>2221.69</v>
      </c>
      <c r="H965" s="20"/>
      <c r="I965" s="20"/>
      <c r="J965" s="20"/>
      <c r="K965" s="20"/>
    </row>
    <row r="966" spans="1:11" ht="19.5" customHeight="1" x14ac:dyDescent="0.3">
      <c r="A966" s="22">
        <v>46045.617277511577</v>
      </c>
      <c r="B966" s="20">
        <v>96</v>
      </c>
      <c r="C966" s="20">
        <v>80</v>
      </c>
      <c r="D966" s="20">
        <v>80.34</v>
      </c>
      <c r="E966" s="20">
        <v>-0.34</v>
      </c>
      <c r="F966" s="20">
        <v>-0.04</v>
      </c>
      <c r="G966" s="20">
        <v>2148.33</v>
      </c>
      <c r="H966" s="20"/>
      <c r="I966" s="20"/>
      <c r="J966" s="20"/>
      <c r="K966" s="20"/>
    </row>
    <row r="967" spans="1:11" ht="19.5" customHeight="1" x14ac:dyDescent="0.3">
      <c r="A967" s="22">
        <v>46045.617278668979</v>
      </c>
      <c r="B967" s="25">
        <v>96.1</v>
      </c>
      <c r="C967" s="20">
        <v>80</v>
      </c>
      <c r="D967" s="20">
        <v>80.319999999999993</v>
      </c>
      <c r="E967" s="20">
        <v>-0.32</v>
      </c>
      <c r="F967" s="20">
        <v>0.03</v>
      </c>
      <c r="G967" s="20">
        <v>2212.7800000000002</v>
      </c>
      <c r="H967" s="20"/>
      <c r="I967" s="20"/>
      <c r="J967" s="20"/>
      <c r="K967" s="20"/>
    </row>
    <row r="968" spans="1:11" ht="19.5" customHeight="1" x14ac:dyDescent="0.3">
      <c r="A968" s="22">
        <v>46045.617279803242</v>
      </c>
      <c r="B968" s="25">
        <v>96.2</v>
      </c>
      <c r="C968" s="20">
        <v>80</v>
      </c>
      <c r="D968" s="20">
        <v>80.319999999999993</v>
      </c>
      <c r="E968" s="20">
        <v>-0.32</v>
      </c>
      <c r="F968" s="20">
        <v>0</v>
      </c>
      <c r="G968" s="20">
        <v>2204.6799999999998</v>
      </c>
      <c r="H968" s="20"/>
      <c r="I968" s="20"/>
      <c r="J968" s="20"/>
      <c r="K968" s="20"/>
    </row>
    <row r="969" spans="1:11" ht="19.5" customHeight="1" x14ac:dyDescent="0.3">
      <c r="A969" s="22">
        <v>46045.617280983795</v>
      </c>
      <c r="B969" s="20">
        <v>96.3</v>
      </c>
      <c r="C969" s="20">
        <v>80</v>
      </c>
      <c r="D969" s="20">
        <v>80.260000000000005</v>
      </c>
      <c r="E969" s="20">
        <v>-0.26</v>
      </c>
      <c r="F969" s="20">
        <v>0.06</v>
      </c>
      <c r="G969" s="20">
        <v>2273.5</v>
      </c>
      <c r="H969" s="20"/>
      <c r="I969" s="20"/>
      <c r="J969" s="20"/>
      <c r="K969" s="20"/>
    </row>
    <row r="970" spans="1:11" ht="19.5" customHeight="1" x14ac:dyDescent="0.3">
      <c r="A970" s="22">
        <v>46045.617282141204</v>
      </c>
      <c r="B970" s="25">
        <v>96.4</v>
      </c>
      <c r="C970" s="20">
        <v>80</v>
      </c>
      <c r="D970" s="20">
        <v>80.25</v>
      </c>
      <c r="E970" s="20">
        <v>-0.25</v>
      </c>
      <c r="F970" s="20">
        <v>0.01</v>
      </c>
      <c r="G970" s="20">
        <v>2286.12</v>
      </c>
      <c r="H970" s="20"/>
      <c r="I970" s="20"/>
      <c r="J970" s="20"/>
      <c r="K970" s="20"/>
    </row>
    <row r="971" spans="1:11" ht="19.5" customHeight="1" x14ac:dyDescent="0.3">
      <c r="A971" s="22">
        <v>46045.617283298612</v>
      </c>
      <c r="B971" s="20">
        <v>96.5</v>
      </c>
      <c r="C971" s="20">
        <v>80</v>
      </c>
      <c r="D971" s="20">
        <v>80.260000000000005</v>
      </c>
      <c r="E971" s="20">
        <v>-0.26</v>
      </c>
      <c r="F971" s="20">
        <v>-0.01</v>
      </c>
      <c r="G971" s="20">
        <v>2262.6</v>
      </c>
      <c r="H971" s="20"/>
      <c r="I971" s="20"/>
      <c r="J971" s="20"/>
      <c r="K971" s="20"/>
    </row>
    <row r="972" spans="1:11" ht="19.5" customHeight="1" x14ac:dyDescent="0.3">
      <c r="A972" s="22">
        <v>46045.617284456021</v>
      </c>
      <c r="B972" s="25">
        <v>96.6</v>
      </c>
      <c r="C972" s="20">
        <v>80</v>
      </c>
      <c r="D972" s="20">
        <v>80.260000000000005</v>
      </c>
      <c r="E972" s="20">
        <v>-0.26</v>
      </c>
      <c r="F972" s="20">
        <v>0</v>
      </c>
      <c r="G972" s="20">
        <v>2273.5</v>
      </c>
      <c r="H972" s="20"/>
      <c r="I972" s="20"/>
      <c r="J972" s="20"/>
      <c r="K972" s="20"/>
    </row>
    <row r="973" spans="1:11" ht="19.5" customHeight="1" x14ac:dyDescent="0.3">
      <c r="A973" s="22">
        <v>46045.617285613429</v>
      </c>
      <c r="B973" s="25">
        <v>96.7</v>
      </c>
      <c r="C973" s="20">
        <v>80</v>
      </c>
      <c r="D973" s="20">
        <v>80.260000000000005</v>
      </c>
      <c r="E973" s="20">
        <v>-0.26</v>
      </c>
      <c r="F973" s="20">
        <v>0</v>
      </c>
      <c r="G973" s="20">
        <v>2277.73</v>
      </c>
      <c r="H973" s="20"/>
      <c r="I973" s="20"/>
      <c r="J973" s="20"/>
      <c r="K973" s="20"/>
    </row>
    <row r="974" spans="1:11" ht="19.5" customHeight="1" x14ac:dyDescent="0.3">
      <c r="A974" s="22">
        <v>46045.617286782406</v>
      </c>
      <c r="B974" s="20">
        <v>96.8</v>
      </c>
      <c r="C974" s="20">
        <v>80</v>
      </c>
      <c r="D974" s="20">
        <v>80.260000000000005</v>
      </c>
      <c r="E974" s="20">
        <v>-0.26</v>
      </c>
      <c r="F974" s="20">
        <v>0</v>
      </c>
      <c r="G974" s="20">
        <v>2277.73</v>
      </c>
      <c r="H974" s="20"/>
      <c r="I974" s="20"/>
      <c r="J974" s="20"/>
      <c r="K974" s="20"/>
    </row>
    <row r="975" spans="1:11" ht="19.5" customHeight="1" x14ac:dyDescent="0.3">
      <c r="A975" s="22">
        <v>46045.617287951391</v>
      </c>
      <c r="B975" s="25">
        <v>96.9</v>
      </c>
      <c r="C975" s="20">
        <v>80</v>
      </c>
      <c r="D975" s="20">
        <v>80.260000000000005</v>
      </c>
      <c r="E975" s="20">
        <v>-0.26</v>
      </c>
      <c r="F975" s="20">
        <v>-0.01</v>
      </c>
      <c r="G975" s="20">
        <v>2261.9699999999998</v>
      </c>
      <c r="H975" s="20"/>
      <c r="I975" s="20"/>
      <c r="J975" s="20"/>
      <c r="K975" s="20"/>
    </row>
    <row r="976" spans="1:11" ht="19.5" customHeight="1" x14ac:dyDescent="0.3">
      <c r="A976" s="22">
        <v>46045.617289097223</v>
      </c>
      <c r="B976" s="25">
        <v>97</v>
      </c>
      <c r="C976" s="20">
        <v>80</v>
      </c>
      <c r="D976" s="20">
        <v>80.260000000000005</v>
      </c>
      <c r="E976" s="20">
        <v>-0.26</v>
      </c>
      <c r="F976" s="20">
        <v>0</v>
      </c>
      <c r="G976" s="20">
        <v>2269.25</v>
      </c>
      <c r="H976" s="20"/>
      <c r="I976" s="20"/>
      <c r="J976" s="20"/>
      <c r="K976" s="20"/>
    </row>
    <row r="977" spans="1:11" ht="19.5" customHeight="1" x14ac:dyDescent="0.3">
      <c r="A977" s="22">
        <v>46045.617290254631</v>
      </c>
      <c r="B977" s="20">
        <v>97.1</v>
      </c>
      <c r="C977" s="20">
        <v>80</v>
      </c>
      <c r="D977" s="20">
        <v>80.260000000000005</v>
      </c>
      <c r="E977" s="20">
        <v>-0.26</v>
      </c>
      <c r="F977" s="20">
        <v>0.01</v>
      </c>
      <c r="G977" s="20">
        <v>2277.73</v>
      </c>
      <c r="H977" s="20"/>
      <c r="I977" s="20"/>
      <c r="J977" s="20"/>
      <c r="K977" s="20"/>
    </row>
    <row r="978" spans="1:11" ht="19.5" customHeight="1" x14ac:dyDescent="0.3">
      <c r="A978" s="22">
        <v>46045.617291423609</v>
      </c>
      <c r="B978" s="25">
        <v>97.2</v>
      </c>
      <c r="C978" s="20">
        <v>80</v>
      </c>
      <c r="D978" s="20">
        <v>80.260000000000005</v>
      </c>
      <c r="E978" s="20">
        <v>-0.26</v>
      </c>
      <c r="F978" s="20">
        <v>-0.01</v>
      </c>
      <c r="G978" s="20">
        <v>2261.9699999999998</v>
      </c>
      <c r="H978" s="20"/>
      <c r="I978" s="20"/>
      <c r="J978" s="20"/>
      <c r="K978" s="20"/>
    </row>
    <row r="979" spans="1:11" ht="19.5" customHeight="1" x14ac:dyDescent="0.3">
      <c r="A979" s="22">
        <v>46045.617292615738</v>
      </c>
      <c r="B979" s="20">
        <v>97.3</v>
      </c>
      <c r="C979" s="20">
        <v>80</v>
      </c>
      <c r="D979" s="20">
        <v>80.27</v>
      </c>
      <c r="E979" s="20">
        <v>-0.27</v>
      </c>
      <c r="F979" s="20">
        <v>0</v>
      </c>
      <c r="G979" s="20">
        <v>2261.38</v>
      </c>
      <c r="H979" s="20"/>
      <c r="I979" s="20"/>
      <c r="J979" s="20"/>
      <c r="K979" s="20"/>
    </row>
    <row r="980" spans="1:11" ht="19.5" customHeight="1" x14ac:dyDescent="0.3">
      <c r="A980" s="22">
        <v>46045.617293726849</v>
      </c>
      <c r="B980" s="25">
        <v>97.4</v>
      </c>
      <c r="C980" s="20">
        <v>80</v>
      </c>
      <c r="D980" s="20">
        <v>80.28</v>
      </c>
      <c r="E980" s="20">
        <v>-0.28000000000000003</v>
      </c>
      <c r="F980" s="20">
        <v>-0.01</v>
      </c>
      <c r="G980" s="20">
        <v>2249.27</v>
      </c>
      <c r="H980" s="20"/>
      <c r="I980" s="20"/>
      <c r="J980" s="20"/>
      <c r="K980" s="20"/>
    </row>
    <row r="981" spans="1:11" ht="19.5" customHeight="1" x14ac:dyDescent="0.3">
      <c r="A981" s="22">
        <v>46045.617294895834</v>
      </c>
      <c r="B981" s="25">
        <v>97.5</v>
      </c>
      <c r="C981" s="20">
        <v>80</v>
      </c>
      <c r="D981" s="20">
        <v>80.290000000000006</v>
      </c>
      <c r="E981" s="20">
        <v>-0.28999999999999998</v>
      </c>
      <c r="F981" s="20">
        <v>-0.01</v>
      </c>
      <c r="G981" s="20">
        <v>2232.69</v>
      </c>
      <c r="H981" s="20"/>
      <c r="I981" s="20"/>
      <c r="J981" s="20"/>
      <c r="K981" s="20"/>
    </row>
    <row r="982" spans="1:11" ht="19.5" customHeight="1" x14ac:dyDescent="0.3">
      <c r="A982" s="22">
        <v>46045.617296041666</v>
      </c>
      <c r="B982" s="20">
        <v>97.6</v>
      </c>
      <c r="C982" s="20">
        <v>80</v>
      </c>
      <c r="D982" s="20">
        <v>80.28</v>
      </c>
      <c r="E982" s="20">
        <v>-0.28000000000000003</v>
      </c>
      <c r="F982" s="20">
        <v>0</v>
      </c>
      <c r="G982" s="20">
        <v>2247.92</v>
      </c>
      <c r="H982" s="20"/>
      <c r="I982" s="20"/>
      <c r="J982" s="20"/>
      <c r="K982" s="20"/>
    </row>
    <row r="983" spans="1:11" ht="19.5" customHeight="1" x14ac:dyDescent="0.3">
      <c r="A983" s="22">
        <v>46045.617297187498</v>
      </c>
      <c r="B983" s="25">
        <v>97.7</v>
      </c>
      <c r="C983" s="20">
        <v>80</v>
      </c>
      <c r="D983" s="20">
        <v>80.27</v>
      </c>
      <c r="E983" s="20">
        <v>-0.27</v>
      </c>
      <c r="F983" s="20">
        <v>0.02</v>
      </c>
      <c r="G983" s="20">
        <v>2265.02</v>
      </c>
      <c r="H983" s="20"/>
      <c r="I983" s="20"/>
      <c r="J983" s="20"/>
      <c r="K983" s="20"/>
    </row>
    <row r="984" spans="1:11" ht="19.5" customHeight="1" x14ac:dyDescent="0.3">
      <c r="A984" s="22">
        <v>46045.61729840278</v>
      </c>
      <c r="B984" s="25">
        <v>97.8</v>
      </c>
      <c r="C984" s="20">
        <v>80</v>
      </c>
      <c r="D984" s="20">
        <v>80.27</v>
      </c>
      <c r="E984" s="20">
        <v>-0.27</v>
      </c>
      <c r="F984" s="20">
        <v>0</v>
      </c>
      <c r="G984" s="20">
        <v>2265.02</v>
      </c>
      <c r="H984" s="20"/>
      <c r="I984" s="20"/>
      <c r="J984" s="20"/>
      <c r="K984" s="20"/>
    </row>
    <row r="985" spans="1:11" ht="19.5" customHeight="1" x14ac:dyDescent="0.3">
      <c r="A985" s="22">
        <v>46045.617299490739</v>
      </c>
      <c r="B985" s="20">
        <v>97.9</v>
      </c>
      <c r="C985" s="20">
        <v>80</v>
      </c>
      <c r="D985" s="20">
        <v>80.27</v>
      </c>
      <c r="E985" s="20">
        <v>-0.27</v>
      </c>
      <c r="F985" s="20">
        <v>0</v>
      </c>
      <c r="G985" s="20">
        <v>2265.02</v>
      </c>
      <c r="H985" s="20"/>
      <c r="I985" s="20"/>
      <c r="J985" s="20"/>
      <c r="K985" s="20"/>
    </row>
    <row r="986" spans="1:11" ht="19.5" customHeight="1" x14ac:dyDescent="0.3">
      <c r="A986" s="22">
        <v>46045.6173006713</v>
      </c>
      <c r="B986" s="25">
        <v>98</v>
      </c>
      <c r="C986" s="20">
        <v>80</v>
      </c>
      <c r="D986" s="20">
        <v>80.28</v>
      </c>
      <c r="E986" s="20">
        <v>-0.28000000000000003</v>
      </c>
      <c r="F986" s="20">
        <v>-0.01</v>
      </c>
      <c r="G986" s="20">
        <v>2249.27</v>
      </c>
      <c r="H986" s="20"/>
      <c r="I986" s="20"/>
      <c r="J986" s="20"/>
      <c r="K986" s="20"/>
    </row>
    <row r="987" spans="1:11" ht="19.5" customHeight="1" x14ac:dyDescent="0.3">
      <c r="A987" s="22">
        <v>46045.617301817132</v>
      </c>
      <c r="B987" s="20">
        <v>98.1</v>
      </c>
      <c r="C987" s="20">
        <v>80</v>
      </c>
      <c r="D987" s="20">
        <v>80.27</v>
      </c>
      <c r="E987" s="20">
        <v>-0.27</v>
      </c>
      <c r="F987" s="20">
        <v>0</v>
      </c>
      <c r="G987" s="20">
        <v>2260.77</v>
      </c>
      <c r="H987" s="20"/>
      <c r="I987" s="20"/>
      <c r="J987" s="20"/>
      <c r="K987" s="20"/>
    </row>
    <row r="988" spans="1:11" ht="19.5" customHeight="1" x14ac:dyDescent="0.3">
      <c r="A988" s="22">
        <v>46045.617302974541</v>
      </c>
      <c r="B988" s="25">
        <v>98.2</v>
      </c>
      <c r="C988" s="20">
        <v>80</v>
      </c>
      <c r="D988" s="20">
        <v>80.239999999999995</v>
      </c>
      <c r="E988" s="20">
        <v>-0.24</v>
      </c>
      <c r="F988" s="20">
        <v>0.04</v>
      </c>
      <c r="G988" s="20">
        <v>2298.62</v>
      </c>
      <c r="H988" s="20"/>
      <c r="I988" s="20"/>
      <c r="J988" s="20"/>
      <c r="K988" s="20"/>
    </row>
    <row r="989" spans="1:11" ht="19.5" customHeight="1" x14ac:dyDescent="0.3">
      <c r="A989" s="22">
        <v>46045.617304155094</v>
      </c>
      <c r="B989" s="25">
        <v>98.3</v>
      </c>
      <c r="C989" s="20">
        <v>80</v>
      </c>
      <c r="D989" s="20">
        <v>80.28</v>
      </c>
      <c r="E989" s="20">
        <v>-0.28000000000000003</v>
      </c>
      <c r="F989" s="20">
        <v>-0.04</v>
      </c>
      <c r="G989" s="20">
        <v>2220.2600000000002</v>
      </c>
      <c r="H989" s="20"/>
      <c r="I989" s="20"/>
      <c r="J989" s="20"/>
      <c r="K989" s="20"/>
    </row>
    <row r="990" spans="1:11" ht="19.5" customHeight="1" x14ac:dyDescent="0.3">
      <c r="A990" s="22">
        <v>46045.617305300926</v>
      </c>
      <c r="B990" s="20">
        <v>98.4</v>
      </c>
      <c r="C990" s="20">
        <v>80</v>
      </c>
      <c r="D990" s="20">
        <v>80.3</v>
      </c>
      <c r="E990" s="20">
        <v>-0.3</v>
      </c>
      <c r="F990" s="20">
        <v>-0.03</v>
      </c>
      <c r="G990" s="20">
        <v>2200.75</v>
      </c>
      <c r="H990" s="20"/>
      <c r="I990" s="20"/>
      <c r="J990" s="20"/>
      <c r="K990" s="20"/>
    </row>
    <row r="991" spans="1:11" ht="19.5" customHeight="1" x14ac:dyDescent="0.3">
      <c r="A991" s="22">
        <v>46045.617306446758</v>
      </c>
      <c r="B991" s="25">
        <v>98.5</v>
      </c>
      <c r="C991" s="20">
        <v>80</v>
      </c>
      <c r="D991" s="20">
        <v>80.25</v>
      </c>
      <c r="E991" s="20">
        <v>-0.25</v>
      </c>
      <c r="F991" s="20">
        <v>0.06</v>
      </c>
      <c r="G991" s="20">
        <v>2286.12</v>
      </c>
      <c r="H991" s="20"/>
      <c r="I991" s="20"/>
      <c r="J991" s="20"/>
      <c r="K991" s="20"/>
    </row>
    <row r="992" spans="1:11" ht="19.5" customHeight="1" x14ac:dyDescent="0.3">
      <c r="A992" s="22">
        <v>46045.617307638888</v>
      </c>
      <c r="B992" s="20">
        <v>98.6</v>
      </c>
      <c r="C992" s="20">
        <v>80</v>
      </c>
      <c r="D992" s="20">
        <v>80.260000000000005</v>
      </c>
      <c r="E992" s="20">
        <v>-0.26</v>
      </c>
      <c r="F992" s="20">
        <v>-0.01</v>
      </c>
      <c r="G992" s="20">
        <v>2262.6</v>
      </c>
      <c r="H992" s="20"/>
      <c r="I992" s="20"/>
      <c r="J992" s="20"/>
      <c r="K992" s="20"/>
    </row>
    <row r="993" spans="1:11" ht="19.5" customHeight="1" x14ac:dyDescent="0.3">
      <c r="A993" s="22">
        <v>46045.617308773151</v>
      </c>
      <c r="B993" s="25">
        <v>98.7</v>
      </c>
      <c r="C993" s="20">
        <v>80</v>
      </c>
      <c r="D993" s="20">
        <v>80.290000000000006</v>
      </c>
      <c r="E993" s="20">
        <v>-0.28999999999999998</v>
      </c>
      <c r="F993" s="20">
        <v>-0.03</v>
      </c>
      <c r="G993" s="20">
        <v>2210.23</v>
      </c>
      <c r="H993" s="20"/>
      <c r="I993" s="20"/>
      <c r="J993" s="20"/>
      <c r="K993" s="20"/>
    </row>
    <row r="994" spans="1:11" ht="19.5" customHeight="1" x14ac:dyDescent="0.3">
      <c r="A994" s="22">
        <v>46045.617309918984</v>
      </c>
      <c r="B994" s="25">
        <v>98.8</v>
      </c>
      <c r="C994" s="20">
        <v>80</v>
      </c>
      <c r="D994" s="20">
        <v>80.23</v>
      </c>
      <c r="E994" s="20">
        <v>-0.23</v>
      </c>
      <c r="F994" s="20">
        <v>0.06</v>
      </c>
      <c r="G994" s="20">
        <v>2306.9299999999998</v>
      </c>
      <c r="H994" s="20"/>
      <c r="I994" s="20"/>
      <c r="J994" s="20"/>
      <c r="K994" s="20"/>
    </row>
    <row r="995" spans="1:11" ht="19.5" customHeight="1" x14ac:dyDescent="0.3">
      <c r="A995" s="22">
        <v>46045.617311087961</v>
      </c>
      <c r="B995" s="20">
        <v>98.9</v>
      </c>
      <c r="C995" s="20">
        <v>80</v>
      </c>
      <c r="D995" s="20">
        <v>80.28</v>
      </c>
      <c r="E995" s="20">
        <v>-0.28000000000000003</v>
      </c>
      <c r="F995" s="20">
        <v>-0.05</v>
      </c>
      <c r="G995" s="20">
        <v>2213.0100000000002</v>
      </c>
      <c r="H995" s="20"/>
      <c r="I995" s="20"/>
      <c r="J995" s="20"/>
      <c r="K995" s="20"/>
    </row>
    <row r="996" spans="1:11" ht="19.5" customHeight="1" x14ac:dyDescent="0.3">
      <c r="A996" s="22">
        <v>46045.617312233793</v>
      </c>
      <c r="B996" s="25">
        <v>99</v>
      </c>
      <c r="C996" s="20">
        <v>80</v>
      </c>
      <c r="D996" s="20">
        <v>80.180000000000007</v>
      </c>
      <c r="E996" s="20">
        <v>-0.18</v>
      </c>
      <c r="F996" s="20">
        <v>0.09</v>
      </c>
      <c r="G996" s="20">
        <v>2352.2399999999998</v>
      </c>
      <c r="H996" s="20"/>
      <c r="I996" s="20"/>
      <c r="J996" s="20"/>
      <c r="K996" s="20"/>
    </row>
    <row r="997" spans="1:11" ht="19.5" customHeight="1" x14ac:dyDescent="0.3">
      <c r="A997" s="22">
        <v>46045.617313402778</v>
      </c>
      <c r="B997" s="20">
        <v>99.1</v>
      </c>
      <c r="C997" s="20">
        <v>80</v>
      </c>
      <c r="D997" s="20">
        <v>80.23</v>
      </c>
      <c r="E997" s="20">
        <v>-0.23</v>
      </c>
      <c r="F997" s="20">
        <v>-0.04</v>
      </c>
      <c r="G997" s="20">
        <v>2266.56</v>
      </c>
      <c r="H997" s="20"/>
      <c r="I997" s="20"/>
      <c r="J997" s="20"/>
      <c r="K997" s="20"/>
    </row>
    <row r="998" spans="1:11" ht="19.5" customHeight="1" x14ac:dyDescent="0.3">
      <c r="A998" s="22">
        <v>46045.617314571762</v>
      </c>
      <c r="B998" s="25">
        <v>99.2</v>
      </c>
      <c r="C998" s="20">
        <v>80</v>
      </c>
      <c r="D998" s="20">
        <v>80.290000000000006</v>
      </c>
      <c r="E998" s="20">
        <v>-0.28999999999999998</v>
      </c>
      <c r="F998" s="20">
        <v>-0.06</v>
      </c>
      <c r="G998" s="20">
        <v>2189.3200000000002</v>
      </c>
      <c r="H998" s="20"/>
      <c r="I998" s="20"/>
      <c r="J998" s="20"/>
      <c r="K998" s="20"/>
    </row>
    <row r="999" spans="1:11" ht="19.5" customHeight="1" x14ac:dyDescent="0.3">
      <c r="A999" s="22">
        <v>46045.617315706018</v>
      </c>
      <c r="B999" s="25">
        <v>99.3</v>
      </c>
      <c r="C999" s="20">
        <v>80</v>
      </c>
      <c r="D999" s="20">
        <v>80.11</v>
      </c>
      <c r="E999" s="20">
        <v>-0.11</v>
      </c>
      <c r="F999" s="20">
        <v>0.18</v>
      </c>
      <c r="G999" s="20">
        <v>2416.59</v>
      </c>
      <c r="H999" s="20"/>
      <c r="I999" s="20"/>
      <c r="J999" s="20"/>
      <c r="K999" s="20"/>
    </row>
    <row r="1000" spans="1:11" ht="19.5" customHeight="1" x14ac:dyDescent="0.3">
      <c r="A1000" s="22">
        <v>46045.617316875003</v>
      </c>
      <c r="B1000" s="20">
        <v>99.4</v>
      </c>
      <c r="C1000" s="20">
        <v>80</v>
      </c>
      <c r="D1000" s="20">
        <v>80.25</v>
      </c>
      <c r="E1000" s="20">
        <v>-0.25</v>
      </c>
      <c r="F1000" s="20">
        <v>-0.14000000000000001</v>
      </c>
      <c r="G1000" s="20">
        <v>2168.41</v>
      </c>
      <c r="H1000" s="20"/>
      <c r="I1000" s="20"/>
      <c r="J1000" s="20"/>
      <c r="K1000" s="20"/>
    </row>
    <row r="1001" spans="1:11" ht="19.5" customHeight="1" x14ac:dyDescent="0.3">
      <c r="A1001" s="22">
        <v>46045.617318032404</v>
      </c>
      <c r="B1001" s="25">
        <v>99.5</v>
      </c>
      <c r="C1001" s="20">
        <v>80</v>
      </c>
      <c r="D1001" s="20">
        <v>80.02</v>
      </c>
      <c r="E1001" s="20">
        <v>-0.02</v>
      </c>
      <c r="F1001" s="20">
        <v>0.23</v>
      </c>
      <c r="G1001" s="20">
        <v>2517.9</v>
      </c>
      <c r="H1001" s="20"/>
      <c r="I1001" s="20"/>
      <c r="J1001" s="20"/>
      <c r="K1001" s="20"/>
    </row>
    <row r="1002" spans="1:11" ht="19.5" customHeight="1" x14ac:dyDescent="0.3">
      <c r="A1002" s="22">
        <v>46045.617319201388</v>
      </c>
      <c r="B1002" s="20">
        <v>99.6</v>
      </c>
      <c r="C1002" s="20">
        <v>80</v>
      </c>
      <c r="D1002" s="20">
        <v>80.27</v>
      </c>
      <c r="E1002" s="20">
        <v>-0.27</v>
      </c>
      <c r="F1002" s="20">
        <v>-0.25</v>
      </c>
      <c r="G1002" s="20">
        <v>2075.35</v>
      </c>
      <c r="H1002" s="20"/>
      <c r="I1002" s="20"/>
      <c r="J1002" s="20"/>
      <c r="K1002" s="20"/>
    </row>
    <row r="1003" spans="1:11" ht="19.5" customHeight="1" x14ac:dyDescent="0.3">
      <c r="A1003" s="22">
        <v>46045.617320335645</v>
      </c>
      <c r="B1003" s="25">
        <v>99.7</v>
      </c>
      <c r="C1003" s="20">
        <v>80</v>
      </c>
      <c r="D1003" s="20">
        <v>80.11</v>
      </c>
      <c r="E1003" s="20">
        <v>-0.11</v>
      </c>
      <c r="F1003" s="20">
        <v>0.17</v>
      </c>
      <c r="G1003" s="20">
        <v>2419.7199999999998</v>
      </c>
      <c r="H1003" s="20"/>
      <c r="I1003" s="20"/>
      <c r="J1003" s="20"/>
      <c r="K1003" s="20"/>
    </row>
    <row r="1004" spans="1:11" ht="19.5" customHeight="1" x14ac:dyDescent="0.3">
      <c r="A1004" s="22">
        <v>46045.617321516205</v>
      </c>
      <c r="B1004" s="25">
        <v>99.8</v>
      </c>
      <c r="C1004" s="20">
        <v>80</v>
      </c>
      <c r="D1004" s="20">
        <v>80.319999999999993</v>
      </c>
      <c r="E1004" s="20">
        <v>-0.32</v>
      </c>
      <c r="F1004" s="20">
        <v>-0.22</v>
      </c>
      <c r="G1004" s="20">
        <v>2043.74</v>
      </c>
      <c r="H1004" s="20"/>
      <c r="I1004" s="20"/>
      <c r="J1004" s="20"/>
      <c r="K1004" s="20"/>
    </row>
    <row r="1005" spans="1:11" ht="19.5" customHeight="1" x14ac:dyDescent="0.3">
      <c r="A1005" s="22">
        <v>46045.617322662038</v>
      </c>
      <c r="B1005" s="20">
        <v>99.9</v>
      </c>
      <c r="C1005" s="20">
        <v>80</v>
      </c>
      <c r="D1005" s="20">
        <v>80.06</v>
      </c>
      <c r="E1005" s="20">
        <v>-0.06</v>
      </c>
      <c r="F1005" s="20">
        <v>0.27</v>
      </c>
      <c r="G1005" s="20">
        <v>2458.52</v>
      </c>
      <c r="H1005" s="20"/>
      <c r="I1005" s="20"/>
      <c r="J1005" s="20"/>
      <c r="K1005" s="20"/>
    </row>
    <row r="1006" spans="1:11" ht="19.5" customHeight="1" x14ac:dyDescent="0.3">
      <c r="A1006" s="22">
        <v>46045.617323831022</v>
      </c>
      <c r="B1006" s="25">
        <v>100</v>
      </c>
      <c r="C1006" s="20">
        <v>80</v>
      </c>
      <c r="D1006" s="20">
        <v>80.31</v>
      </c>
      <c r="E1006" s="20">
        <v>-0.31</v>
      </c>
      <c r="F1006" s="20">
        <v>-0.25</v>
      </c>
      <c r="G1006" s="20">
        <v>2022.71</v>
      </c>
      <c r="H1006" s="20"/>
      <c r="I1006" s="20"/>
      <c r="J1006" s="20"/>
      <c r="K1006" s="20"/>
    </row>
    <row r="1007" spans="1:11" ht="19.5" customHeight="1" x14ac:dyDescent="0.3">
      <c r="A1007" s="23">
        <v>46045.617324965278</v>
      </c>
      <c r="B1007" s="33">
        <v>100.1</v>
      </c>
      <c r="C1007" s="24">
        <v>80</v>
      </c>
      <c r="D1007" s="24">
        <v>80.09</v>
      </c>
      <c r="E1007" s="24">
        <v>-0.09</v>
      </c>
      <c r="F1007" s="24">
        <v>0.23</v>
      </c>
      <c r="G1007" s="24">
        <v>2430.41</v>
      </c>
      <c r="H1007" s="24"/>
      <c r="I1007" s="24"/>
      <c r="J1007" s="24"/>
      <c r="K1007" s="24"/>
    </row>
    <row r="1008" spans="1:11" ht="19.5" customHeight="1" x14ac:dyDescent="0.3"/>
    <row r="1009" s="1" customFormat="1" ht="19.5" customHeight="1" x14ac:dyDescent="0.3"/>
    <row r="1010" s="1" customFormat="1" ht="19.5" customHeight="1" x14ac:dyDescent="0.3"/>
    <row r="1011" s="1" customFormat="1" ht="19.5" customHeight="1" x14ac:dyDescent="0.3"/>
    <row r="1012" s="1" customFormat="1" ht="19.5" customHeight="1" x14ac:dyDescent="0.3"/>
    <row r="1013" s="1" customFormat="1" ht="19.5" customHeight="1" x14ac:dyDescent="0.3"/>
    <row r="1014" s="1" customFormat="1" ht="19.5" customHeight="1" x14ac:dyDescent="0.3"/>
    <row r="1015" s="1" customFormat="1" ht="19.5" customHeight="1" x14ac:dyDescent="0.3"/>
    <row r="1016" s="1" customFormat="1" ht="19.5" customHeight="1" x14ac:dyDescent="0.3"/>
    <row r="1017" s="1" customFormat="1" ht="19.5" customHeight="1" x14ac:dyDescent="0.3"/>
    <row r="1018" s="1" customFormat="1" ht="19.5" customHeight="1" x14ac:dyDescent="0.3"/>
    <row r="1019" s="1" customFormat="1" ht="19.5" customHeight="1" x14ac:dyDescent="0.3"/>
    <row r="1020" s="1" customFormat="1" ht="19.5" customHeight="1" x14ac:dyDescent="0.3"/>
    <row r="1021" s="1" customFormat="1" ht="19.5" customHeight="1" x14ac:dyDescent="0.3"/>
    <row r="1022" s="1" customFormat="1" ht="19.5" customHeight="1" x14ac:dyDescent="0.3"/>
    <row r="1023" s="1" customFormat="1" ht="19.5" customHeight="1" x14ac:dyDescent="0.3"/>
    <row r="1024" s="1" customFormat="1" ht="19.5" customHeight="1" x14ac:dyDescent="0.3"/>
    <row r="1025" s="1" customFormat="1" ht="19.5" customHeight="1" x14ac:dyDescent="0.3"/>
    <row r="1026" s="1" customFormat="1" ht="19.5" customHeight="1" x14ac:dyDescent="0.3"/>
    <row r="1027" s="1" customFormat="1" ht="19.5" customHeight="1" x14ac:dyDescent="0.3"/>
    <row r="1028" s="1" customFormat="1" ht="19.5" customHeight="1" x14ac:dyDescent="0.3"/>
    <row r="1029" s="1" customFormat="1" ht="19.5" customHeight="1" x14ac:dyDescent="0.3"/>
    <row r="1030" s="1" customFormat="1" ht="19.5" customHeight="1" x14ac:dyDescent="0.3"/>
    <row r="1031" s="1" customFormat="1" ht="19.5" customHeight="1" x14ac:dyDescent="0.3"/>
    <row r="1032" s="1" customFormat="1" ht="19.5" customHeight="1" x14ac:dyDescent="0.3"/>
    <row r="1033" s="1" customFormat="1" ht="19.5" customHeight="1" x14ac:dyDescent="0.3"/>
    <row r="1034" s="1" customFormat="1" ht="19.5" customHeight="1" x14ac:dyDescent="0.3"/>
    <row r="1035" s="1" customFormat="1" ht="19.5" customHeight="1" x14ac:dyDescent="0.3"/>
    <row r="1036" s="1" customFormat="1" ht="19.5" customHeight="1" x14ac:dyDescent="0.3"/>
    <row r="1037" s="1" customFormat="1" ht="19.5" customHeight="1" x14ac:dyDescent="0.3"/>
    <row r="1038" s="1" customFormat="1" ht="19.5" customHeight="1" x14ac:dyDescent="0.3"/>
    <row r="1039" s="1" customFormat="1" ht="19.5" customHeight="1" x14ac:dyDescent="0.3"/>
    <row r="1040" s="1" customFormat="1" ht="19.5" customHeight="1" x14ac:dyDescent="0.3"/>
    <row r="1041" s="1" customFormat="1" ht="19.5" customHeight="1" x14ac:dyDescent="0.3"/>
    <row r="1042" s="1" customFormat="1" ht="19.5" customHeight="1" x14ac:dyDescent="0.3"/>
    <row r="1043" s="1" customFormat="1" ht="19.5" customHeight="1" x14ac:dyDescent="0.3"/>
    <row r="1044" s="1" customFormat="1" ht="19.5" customHeight="1" x14ac:dyDescent="0.3"/>
    <row r="1045" s="1" customFormat="1" ht="19.5" customHeight="1" x14ac:dyDescent="0.3"/>
    <row r="1046" s="1" customFormat="1" ht="19.5" customHeight="1" x14ac:dyDescent="0.3"/>
    <row r="1047" s="1" customFormat="1" ht="19.5" customHeight="1" x14ac:dyDescent="0.3"/>
    <row r="1048" s="1" customFormat="1" ht="19.5" customHeight="1" x14ac:dyDescent="0.3"/>
    <row r="1049" s="1" customFormat="1" ht="19.5" customHeight="1" x14ac:dyDescent="0.3"/>
    <row r="1050" s="1" customFormat="1" ht="19.5" customHeight="1" x14ac:dyDescent="0.3"/>
    <row r="1051" s="1" customFormat="1" ht="19.5" customHeight="1" x14ac:dyDescent="0.3"/>
    <row r="1052" s="1" customFormat="1" ht="19.5" customHeight="1" x14ac:dyDescent="0.3"/>
    <row r="1053" s="1" customFormat="1" ht="19.5" customHeight="1" x14ac:dyDescent="0.3"/>
    <row r="1054" s="1" customFormat="1" ht="19.5" customHeight="1" x14ac:dyDescent="0.3"/>
    <row r="1055" s="1" customFormat="1" ht="19.5" customHeight="1" x14ac:dyDescent="0.3"/>
    <row r="1056" s="1" customFormat="1" ht="19.5" customHeight="1" x14ac:dyDescent="0.3"/>
    <row r="1057" s="1" customFormat="1" ht="19.5" customHeight="1" x14ac:dyDescent="0.3"/>
    <row r="1058" s="1" customFormat="1" ht="19.5" customHeight="1" x14ac:dyDescent="0.3"/>
    <row r="1059" s="1" customFormat="1" ht="19.5" customHeight="1" x14ac:dyDescent="0.3"/>
    <row r="1060" s="1" customFormat="1" ht="19.5" customHeight="1" x14ac:dyDescent="0.3"/>
    <row r="1061" s="1" customFormat="1" ht="19.5" customHeight="1" x14ac:dyDescent="0.3"/>
    <row r="1062" s="1" customFormat="1" ht="19.5" customHeight="1" x14ac:dyDescent="0.3"/>
    <row r="1063" s="1" customFormat="1" ht="19.5" customHeight="1" x14ac:dyDescent="0.3"/>
    <row r="1064" s="1" customFormat="1" ht="19.5" customHeight="1" x14ac:dyDescent="0.3"/>
    <row r="1065" s="1" customFormat="1" ht="19.5" customHeight="1" x14ac:dyDescent="0.3"/>
    <row r="1066" s="1" customFormat="1" ht="19.5" customHeight="1" x14ac:dyDescent="0.3"/>
    <row r="1067" s="1" customFormat="1" ht="19.5" customHeight="1" x14ac:dyDescent="0.3"/>
    <row r="1068" s="1" customFormat="1" ht="19.5" customHeight="1" x14ac:dyDescent="0.3"/>
    <row r="1069" s="1" customFormat="1" ht="19.5" customHeight="1" x14ac:dyDescent="0.3"/>
    <row r="1070" s="1" customFormat="1" ht="19.5" customHeight="1" x14ac:dyDescent="0.3"/>
    <row r="1071" s="1" customFormat="1" ht="19.5" customHeight="1" x14ac:dyDescent="0.3"/>
    <row r="1072" s="1" customFormat="1" ht="19.5" customHeight="1" x14ac:dyDescent="0.3"/>
    <row r="1073" s="1" customFormat="1" ht="19.5" customHeight="1" x14ac:dyDescent="0.3"/>
    <row r="1074" s="1" customFormat="1" ht="19.5" customHeight="1" x14ac:dyDescent="0.3"/>
    <row r="1075" s="1" customFormat="1" ht="19.5" customHeight="1" x14ac:dyDescent="0.3"/>
    <row r="1076" s="1" customFormat="1" ht="19.5" customHeight="1" x14ac:dyDescent="0.3"/>
    <row r="1077" s="1" customFormat="1" ht="19.5" customHeight="1" x14ac:dyDescent="0.3"/>
    <row r="1078" s="1" customFormat="1" ht="19.5" customHeight="1" x14ac:dyDescent="0.3"/>
    <row r="1079" s="1" customFormat="1" ht="19.5" customHeight="1" x14ac:dyDescent="0.3"/>
    <row r="1080" s="1" customFormat="1" ht="19.5" customHeight="1" x14ac:dyDescent="0.3"/>
    <row r="1081" s="1" customFormat="1" ht="19.5" customHeight="1" x14ac:dyDescent="0.3"/>
    <row r="1082" s="1" customFormat="1" ht="19.5" customHeight="1" x14ac:dyDescent="0.3"/>
    <row r="1083" s="1" customFormat="1" ht="19.5" customHeight="1" x14ac:dyDescent="0.3"/>
    <row r="1084" s="1" customFormat="1" ht="19.5" customHeight="1" x14ac:dyDescent="0.3"/>
    <row r="1085" s="1" customFormat="1" ht="19.5" customHeight="1" x14ac:dyDescent="0.3"/>
    <row r="1086" s="1" customFormat="1" ht="19.5" customHeight="1" x14ac:dyDescent="0.3"/>
    <row r="1087" s="1" customFormat="1" ht="19.5" customHeight="1" x14ac:dyDescent="0.3"/>
    <row r="1088" s="1" customFormat="1" ht="19.5" customHeight="1" x14ac:dyDescent="0.3"/>
    <row r="1089" s="1" customFormat="1" ht="19.5" customHeight="1" x14ac:dyDescent="0.3"/>
    <row r="1090" s="1" customFormat="1" ht="19.5" customHeight="1" x14ac:dyDescent="0.3"/>
    <row r="1091" s="1" customFormat="1" ht="19.5" customHeight="1" x14ac:dyDescent="0.3"/>
    <row r="1092" s="1" customFormat="1" ht="19.5" customHeight="1" x14ac:dyDescent="0.3"/>
    <row r="1093" s="1" customFormat="1" ht="19.5" customHeight="1" x14ac:dyDescent="0.3"/>
    <row r="1094" s="1" customFormat="1" ht="19.5" customHeight="1" x14ac:dyDescent="0.3"/>
    <row r="1095" s="1" customFormat="1" ht="19.5" customHeight="1" x14ac:dyDescent="0.3"/>
    <row r="1096" s="1" customFormat="1" ht="19.5" customHeight="1" x14ac:dyDescent="0.3"/>
    <row r="1097" s="1" customFormat="1" ht="19.5" customHeight="1" x14ac:dyDescent="0.3"/>
    <row r="1098" s="1" customFormat="1" ht="19.5" customHeight="1" x14ac:dyDescent="0.3"/>
    <row r="1099" s="1" customFormat="1" ht="19.5" customHeight="1" x14ac:dyDescent="0.3"/>
    <row r="1100" s="1" customFormat="1" ht="19.5" customHeight="1" x14ac:dyDescent="0.3"/>
    <row r="1101" s="1" customFormat="1" ht="19.5" customHeight="1" x14ac:dyDescent="0.3"/>
    <row r="1102" s="1" customFormat="1" ht="19.5" customHeight="1" x14ac:dyDescent="0.3"/>
    <row r="1103" s="1" customFormat="1" ht="19.5" customHeight="1" x14ac:dyDescent="0.3"/>
    <row r="1104" s="1" customFormat="1" ht="19.5" customHeight="1" x14ac:dyDescent="0.3"/>
    <row r="1105" s="1" customFormat="1" ht="19.5" customHeight="1" x14ac:dyDescent="0.3"/>
    <row r="1106" s="1" customFormat="1" ht="19.5" customHeight="1" x14ac:dyDescent="0.3"/>
    <row r="1107" s="1" customFormat="1" ht="19.5" customHeight="1" x14ac:dyDescent="0.3"/>
    <row r="1108" s="1" customFormat="1" ht="19.5" customHeight="1" x14ac:dyDescent="0.3"/>
    <row r="1109" s="1" customFormat="1" ht="19.5" customHeight="1" x14ac:dyDescent="0.3"/>
    <row r="1110" s="1" customFormat="1" ht="19.5" customHeight="1" x14ac:dyDescent="0.3"/>
    <row r="1111" s="1" customFormat="1" ht="19.5" customHeight="1" x14ac:dyDescent="0.3"/>
    <row r="1112" s="1" customFormat="1" ht="19.5" customHeight="1" x14ac:dyDescent="0.3"/>
    <row r="1113" s="1" customFormat="1" ht="19.5" customHeight="1" x14ac:dyDescent="0.3"/>
    <row r="1114" s="1" customFormat="1" ht="19.5" customHeight="1" x14ac:dyDescent="0.3"/>
    <row r="1115" s="1" customFormat="1" ht="19.5" customHeight="1" x14ac:dyDescent="0.3"/>
    <row r="1116" s="1" customFormat="1" ht="19.5" customHeight="1" x14ac:dyDescent="0.3"/>
    <row r="1117" s="1" customFormat="1" ht="19.5" customHeight="1" x14ac:dyDescent="0.3"/>
    <row r="1118" s="1" customFormat="1" ht="19.5" customHeight="1" x14ac:dyDescent="0.3"/>
    <row r="1119" s="1" customFormat="1" ht="19.5" customHeight="1" x14ac:dyDescent="0.3"/>
    <row r="1120" s="1" customFormat="1" ht="19.5" customHeight="1" x14ac:dyDescent="0.3"/>
    <row r="1121" s="1" customFormat="1" ht="19.5" customHeight="1" x14ac:dyDescent="0.3"/>
    <row r="1122" s="1" customFormat="1" ht="19.5" customHeight="1" x14ac:dyDescent="0.3"/>
    <row r="1123" s="1" customFormat="1" ht="19.5" customHeight="1" x14ac:dyDescent="0.3"/>
    <row r="1124" s="1" customFormat="1" ht="19.5" customHeight="1" x14ac:dyDescent="0.3"/>
    <row r="1125" s="1" customFormat="1" ht="19.5" customHeight="1" x14ac:dyDescent="0.3"/>
    <row r="1126" s="1" customFormat="1" ht="19.5" customHeight="1" x14ac:dyDescent="0.3"/>
    <row r="1127" s="1" customFormat="1" ht="19.5" customHeight="1" x14ac:dyDescent="0.3"/>
    <row r="1128" s="1" customFormat="1" ht="19.5" customHeight="1" x14ac:dyDescent="0.3"/>
    <row r="1129" s="1" customFormat="1" ht="19.5" customHeight="1" x14ac:dyDescent="0.3"/>
    <row r="1130" s="1" customFormat="1" ht="19.5" customHeight="1" x14ac:dyDescent="0.3"/>
    <row r="1131" s="1" customFormat="1" ht="19.5" customHeight="1" x14ac:dyDescent="0.3"/>
    <row r="1132" s="1" customFormat="1" ht="19.5" customHeight="1" x14ac:dyDescent="0.3"/>
    <row r="1133" s="1" customFormat="1" ht="19.5" customHeight="1" x14ac:dyDescent="0.3"/>
    <row r="1134" s="1" customFormat="1" ht="19.5" customHeight="1" x14ac:dyDescent="0.3"/>
    <row r="1135" s="1" customFormat="1" ht="19.5" customHeight="1" x14ac:dyDescent="0.3"/>
    <row r="1136" s="1" customFormat="1" ht="19.5" customHeight="1" x14ac:dyDescent="0.3"/>
    <row r="1137" s="1" customFormat="1" ht="19.5" customHeight="1" x14ac:dyDescent="0.3"/>
    <row r="1138" s="1" customFormat="1" ht="19.5" customHeight="1" x14ac:dyDescent="0.3"/>
    <row r="1139" s="1" customFormat="1" ht="19.5" customHeight="1" x14ac:dyDescent="0.3"/>
    <row r="1140" s="1" customFormat="1" ht="19.5" customHeight="1" x14ac:dyDescent="0.3"/>
    <row r="1141" s="1" customFormat="1" ht="19.5" customHeight="1" x14ac:dyDescent="0.3"/>
    <row r="1142" s="1" customFormat="1" ht="19.5" customHeight="1" x14ac:dyDescent="0.3"/>
    <row r="1143" s="1" customFormat="1" ht="19.5" customHeight="1" x14ac:dyDescent="0.3"/>
    <row r="1144" s="1" customFormat="1" ht="19.5" customHeight="1" x14ac:dyDescent="0.3"/>
    <row r="1145" s="1" customFormat="1" ht="19.5" customHeight="1" x14ac:dyDescent="0.3"/>
    <row r="1146" s="1" customFormat="1" ht="19.5" customHeight="1" x14ac:dyDescent="0.3"/>
    <row r="1147" s="1" customFormat="1" ht="19.5" customHeight="1" x14ac:dyDescent="0.3"/>
    <row r="1148" s="1" customFormat="1" ht="19.5" customHeight="1" x14ac:dyDescent="0.3"/>
    <row r="1149" s="1" customFormat="1" ht="19.5" customHeight="1" x14ac:dyDescent="0.3"/>
    <row r="1150" s="1" customFormat="1" ht="19.5" customHeight="1" x14ac:dyDescent="0.3"/>
    <row r="1151" s="1" customFormat="1" ht="19.5" customHeight="1" x14ac:dyDescent="0.3"/>
    <row r="1152" s="1" customFormat="1" ht="19.5" customHeight="1" x14ac:dyDescent="0.3"/>
    <row r="1153" s="1" customFormat="1" ht="19.5" customHeight="1" x14ac:dyDescent="0.3"/>
    <row r="1154" s="1" customFormat="1" ht="19.5" customHeight="1" x14ac:dyDescent="0.3"/>
    <row r="1155" s="1" customFormat="1" ht="19.5" customHeight="1" x14ac:dyDescent="0.3"/>
    <row r="1156" s="1" customFormat="1" ht="19.5" customHeight="1" x14ac:dyDescent="0.3"/>
    <row r="1157" s="1" customFormat="1" ht="19.5" customHeight="1" x14ac:dyDescent="0.3"/>
    <row r="1158" s="1" customFormat="1" ht="19.5" customHeight="1" x14ac:dyDescent="0.3"/>
    <row r="1159" s="1" customFormat="1" ht="19.5" customHeight="1" x14ac:dyDescent="0.3"/>
    <row r="1160" s="1" customFormat="1" ht="19.5" customHeight="1" x14ac:dyDescent="0.3"/>
    <row r="1161" s="1" customFormat="1" ht="19.5" customHeight="1" x14ac:dyDescent="0.3"/>
    <row r="1162" s="1" customFormat="1" ht="19.5" customHeight="1" x14ac:dyDescent="0.3"/>
    <row r="1163" s="1" customFormat="1" ht="19.5" customHeight="1" x14ac:dyDescent="0.3"/>
    <row r="1164" s="1" customFormat="1" ht="19.5" customHeight="1" x14ac:dyDescent="0.3"/>
    <row r="1165" s="1" customFormat="1" ht="19.5" customHeight="1" x14ac:dyDescent="0.3"/>
    <row r="1166" s="1" customFormat="1" ht="19.5" customHeight="1" x14ac:dyDescent="0.3"/>
    <row r="1167" s="1" customFormat="1" ht="19.5" customHeight="1" x14ac:dyDescent="0.3"/>
    <row r="1168" s="1" customFormat="1" ht="19.5" customHeight="1" x14ac:dyDescent="0.3"/>
    <row r="1169" s="1" customFormat="1" ht="19.5" customHeight="1" x14ac:dyDescent="0.3"/>
    <row r="1170" s="1" customFormat="1" ht="19.5" customHeight="1" x14ac:dyDescent="0.3"/>
    <row r="1171" s="1" customFormat="1" ht="19.5" customHeight="1" x14ac:dyDescent="0.3"/>
    <row r="1172" s="1" customFormat="1" ht="19.5" customHeight="1" x14ac:dyDescent="0.3"/>
    <row r="1173" s="1" customFormat="1" ht="19.5" customHeight="1" x14ac:dyDescent="0.3"/>
    <row r="1174" s="1" customFormat="1" ht="19.5" customHeight="1" x14ac:dyDescent="0.3"/>
    <row r="1175" s="1" customFormat="1" ht="19.5" customHeight="1" x14ac:dyDescent="0.3"/>
    <row r="1176" s="1" customFormat="1" ht="19.5" customHeight="1" x14ac:dyDescent="0.3"/>
    <row r="1177" s="1" customFormat="1" ht="19.5" customHeight="1" x14ac:dyDescent="0.3"/>
    <row r="1178" s="1" customFormat="1" ht="19.5" customHeight="1" x14ac:dyDescent="0.3"/>
    <row r="1179" s="1" customFormat="1" ht="19.5" customHeight="1" x14ac:dyDescent="0.3"/>
    <row r="1180" s="1" customFormat="1" ht="19.5" customHeight="1" x14ac:dyDescent="0.3"/>
    <row r="1181" s="1" customFormat="1" ht="19.5" customHeight="1" x14ac:dyDescent="0.3"/>
    <row r="1182" s="1" customFormat="1" ht="19.5" customHeight="1" x14ac:dyDescent="0.3"/>
    <row r="1183" s="1" customFormat="1" ht="19.5" customHeight="1" x14ac:dyDescent="0.3"/>
    <row r="1184" s="1" customFormat="1" ht="19.5" customHeight="1" x14ac:dyDescent="0.3"/>
    <row r="1185" s="1" customFormat="1" ht="19.5" customHeight="1" x14ac:dyDescent="0.3"/>
    <row r="1186" s="1" customFormat="1" ht="19.5" customHeight="1" x14ac:dyDescent="0.3"/>
    <row r="1187" s="1" customFormat="1" ht="19.5" customHeight="1" x14ac:dyDescent="0.3"/>
    <row r="1188" s="1" customFormat="1" ht="19.5" customHeight="1" x14ac:dyDescent="0.3"/>
    <row r="1189" s="1" customFormat="1" ht="19.5" customHeight="1" x14ac:dyDescent="0.3"/>
    <row r="1190" s="1" customFormat="1" ht="19.5" customHeight="1" x14ac:dyDescent="0.3"/>
    <row r="1191" s="1" customFormat="1" ht="19.5" customHeight="1" x14ac:dyDescent="0.3"/>
    <row r="1192" s="1" customFormat="1" ht="19.5" customHeight="1" x14ac:dyDescent="0.3"/>
    <row r="1193" s="1" customFormat="1" ht="19.5" customHeight="1" x14ac:dyDescent="0.3"/>
    <row r="1194" s="1" customFormat="1" ht="19.5" customHeight="1" x14ac:dyDescent="0.3"/>
    <row r="1195" s="1" customFormat="1" ht="19.5" customHeight="1" x14ac:dyDescent="0.3"/>
    <row r="1196" s="1" customFormat="1" ht="19.5" customHeight="1" x14ac:dyDescent="0.3"/>
    <row r="1197" s="1" customFormat="1" ht="19.5" customHeight="1" x14ac:dyDescent="0.3"/>
    <row r="1198" s="1" customFormat="1" ht="19.5" customHeight="1" x14ac:dyDescent="0.3"/>
    <row r="1199" s="1" customFormat="1" ht="19.5" customHeight="1" x14ac:dyDescent="0.3"/>
    <row r="1200" s="1" customFormat="1" ht="19.5" customHeight="1" x14ac:dyDescent="0.3"/>
    <row r="1201" s="1" customFormat="1" ht="19.5" customHeight="1" x14ac:dyDescent="0.3"/>
    <row r="1202" s="1" customFormat="1" ht="19.5" customHeight="1" x14ac:dyDescent="0.3"/>
    <row r="1203" s="1" customFormat="1" ht="19.5" customHeight="1" x14ac:dyDescent="0.3"/>
    <row r="1204" s="1" customFormat="1" ht="19.5" customHeight="1" x14ac:dyDescent="0.3"/>
    <row r="1205" s="1" customFormat="1" ht="19.5" customHeight="1" x14ac:dyDescent="0.3"/>
    <row r="1206" s="1" customFormat="1" ht="19.5" customHeight="1" x14ac:dyDescent="0.3"/>
    <row r="1207" s="1" customFormat="1" ht="19.5" customHeight="1" x14ac:dyDescent="0.3"/>
    <row r="1208" s="1" customFormat="1" ht="19.5" customHeight="1" x14ac:dyDescent="0.3"/>
    <row r="1209" s="1" customFormat="1" ht="19.5" customHeight="1" x14ac:dyDescent="0.3"/>
    <row r="1210" s="1" customFormat="1" ht="19.5" customHeight="1" x14ac:dyDescent="0.3"/>
    <row r="1211" s="1" customFormat="1" ht="19.5" customHeight="1" x14ac:dyDescent="0.3"/>
    <row r="1212" s="1" customFormat="1" ht="19.5" customHeight="1" x14ac:dyDescent="0.3"/>
    <row r="1213" s="1" customFormat="1" ht="19.5" customHeight="1" x14ac:dyDescent="0.3"/>
    <row r="1214" s="1" customFormat="1" ht="19.5" customHeight="1" x14ac:dyDescent="0.3"/>
    <row r="1215" s="1" customFormat="1" ht="19.5" customHeight="1" x14ac:dyDescent="0.3"/>
    <row r="1216" s="1" customFormat="1" ht="19.5" customHeight="1" x14ac:dyDescent="0.3"/>
    <row r="1217" s="1" customFormat="1" ht="19.5" customHeight="1" x14ac:dyDescent="0.3"/>
    <row r="1218" s="1" customFormat="1" ht="19.5" customHeight="1" x14ac:dyDescent="0.3"/>
    <row r="1219" s="1" customFormat="1" ht="19.5" customHeight="1" x14ac:dyDescent="0.3"/>
    <row r="1220" s="1" customFormat="1" ht="19.5" customHeight="1" x14ac:dyDescent="0.3"/>
    <row r="1221" s="1" customFormat="1" ht="19.5" customHeight="1" x14ac:dyDescent="0.3"/>
    <row r="1222" s="1" customFormat="1" ht="19.5" customHeight="1" x14ac:dyDescent="0.3"/>
    <row r="1223" s="1" customFormat="1" ht="19.5" customHeight="1" x14ac:dyDescent="0.3"/>
    <row r="1224" s="1" customFormat="1" ht="19.5" customHeight="1" x14ac:dyDescent="0.3"/>
    <row r="1225" s="1" customFormat="1" ht="19.5" customHeight="1" x14ac:dyDescent="0.3"/>
    <row r="1226" s="1" customFormat="1" ht="19.5" customHeight="1" x14ac:dyDescent="0.3"/>
    <row r="1227" s="1" customFormat="1" ht="19.5" customHeight="1" x14ac:dyDescent="0.3"/>
    <row r="1228" s="1" customFormat="1" ht="19.5" customHeight="1" x14ac:dyDescent="0.3"/>
    <row r="1229" s="1" customFormat="1" ht="19.5" customHeight="1" x14ac:dyDescent="0.3"/>
    <row r="1230" s="1" customFormat="1" ht="19.5" customHeight="1" x14ac:dyDescent="0.3"/>
    <row r="1231" s="1" customFormat="1" ht="19.5" customHeight="1" x14ac:dyDescent="0.3"/>
    <row r="1232" s="1" customFormat="1" ht="19.5" customHeight="1" x14ac:dyDescent="0.3"/>
    <row r="1233" s="1" customFormat="1" ht="19.5" customHeight="1" x14ac:dyDescent="0.3"/>
    <row r="1234" s="1" customFormat="1" ht="19.5" customHeight="1" x14ac:dyDescent="0.3"/>
    <row r="1235" s="1" customFormat="1" ht="19.5" customHeight="1" x14ac:dyDescent="0.3"/>
    <row r="1236" s="1" customFormat="1" ht="19.5" customHeight="1" x14ac:dyDescent="0.3"/>
    <row r="1237" s="1" customFormat="1" ht="19.5" customHeight="1" x14ac:dyDescent="0.3"/>
    <row r="1238" s="1" customFormat="1" ht="19.5" customHeight="1" x14ac:dyDescent="0.3"/>
    <row r="1239" s="1" customFormat="1" ht="19.5" customHeight="1" x14ac:dyDescent="0.3"/>
    <row r="1240" s="1" customFormat="1" ht="19.5" customHeight="1" x14ac:dyDescent="0.3"/>
    <row r="1241" s="1" customFormat="1" ht="19.5" customHeight="1" x14ac:dyDescent="0.3"/>
    <row r="1242" s="1" customFormat="1" ht="19.5" customHeight="1" x14ac:dyDescent="0.3"/>
    <row r="1243" s="1" customFormat="1" ht="19.5" customHeight="1" x14ac:dyDescent="0.3"/>
    <row r="1244" s="1" customFormat="1" ht="19.5" customHeight="1" x14ac:dyDescent="0.3"/>
    <row r="1245" s="1" customFormat="1" ht="19.5" customHeight="1" x14ac:dyDescent="0.3"/>
    <row r="1246" s="1" customFormat="1" ht="19.5" customHeight="1" x14ac:dyDescent="0.3"/>
    <row r="1247" s="1" customFormat="1" ht="19.5" customHeight="1" x14ac:dyDescent="0.3"/>
    <row r="1248" s="1" customFormat="1" ht="19.5" customHeight="1" x14ac:dyDescent="0.3"/>
    <row r="1249" s="1" customFormat="1" ht="19.5" customHeight="1" x14ac:dyDescent="0.3"/>
    <row r="1250" s="1" customFormat="1" ht="19.5" customHeight="1" x14ac:dyDescent="0.3"/>
    <row r="1251" s="1" customFormat="1" ht="19.5" customHeight="1" x14ac:dyDescent="0.3"/>
    <row r="1252" s="1" customFormat="1" ht="19.5" customHeight="1" x14ac:dyDescent="0.3"/>
    <row r="1253" s="1" customFormat="1" ht="19.5" customHeight="1" x14ac:dyDescent="0.3"/>
    <row r="1254" s="1" customFormat="1" ht="19.5" customHeight="1" x14ac:dyDescent="0.3"/>
    <row r="1255" s="1" customFormat="1" ht="19.5" customHeight="1" x14ac:dyDescent="0.3"/>
    <row r="1256" s="1" customFormat="1" ht="19.5" customHeight="1" x14ac:dyDescent="0.3"/>
    <row r="1257" s="1" customFormat="1" ht="19.5" customHeight="1" x14ac:dyDescent="0.3"/>
    <row r="1258" s="1" customFormat="1" ht="19.5" customHeight="1" x14ac:dyDescent="0.3"/>
    <row r="1259" s="1" customFormat="1" ht="19.5" customHeight="1" x14ac:dyDescent="0.3"/>
    <row r="1260" s="1" customFormat="1" ht="19.5" customHeight="1" x14ac:dyDescent="0.3"/>
    <row r="1261" s="1" customFormat="1" ht="19.5" customHeight="1" x14ac:dyDescent="0.3"/>
    <row r="1262" s="1" customFormat="1" ht="19.5" customHeight="1" x14ac:dyDescent="0.3"/>
    <row r="1263" s="1" customFormat="1" ht="19.5" customHeight="1" x14ac:dyDescent="0.3"/>
    <row r="1264" s="1" customFormat="1" ht="19.5" customHeight="1" x14ac:dyDescent="0.3"/>
    <row r="1265" s="1" customFormat="1" ht="19.5" customHeight="1" x14ac:dyDescent="0.3"/>
    <row r="1266" s="1" customFormat="1" ht="19.5" customHeight="1" x14ac:dyDescent="0.3"/>
    <row r="1267" s="1" customFormat="1" ht="19.5" customHeight="1" x14ac:dyDescent="0.3"/>
    <row r="1268" s="1" customFormat="1" ht="19.5" customHeight="1" x14ac:dyDescent="0.3"/>
    <row r="1269" s="1" customFormat="1" ht="19.5" customHeight="1" x14ac:dyDescent="0.3"/>
    <row r="1270" s="1" customFormat="1" ht="19.5" customHeight="1" x14ac:dyDescent="0.3"/>
    <row r="1271" s="1" customFormat="1" ht="19.5" customHeight="1" x14ac:dyDescent="0.3"/>
    <row r="1272" s="1" customFormat="1" ht="19.5" customHeight="1" x14ac:dyDescent="0.3"/>
    <row r="1273" s="1" customFormat="1" ht="19.5" customHeight="1" x14ac:dyDescent="0.3"/>
    <row r="1274" s="1" customFormat="1" ht="19.5" customHeight="1" x14ac:dyDescent="0.3"/>
    <row r="1275" s="1" customFormat="1" ht="19.5" customHeight="1" x14ac:dyDescent="0.3"/>
    <row r="1276" s="1" customFormat="1" ht="19.5" customHeight="1" x14ac:dyDescent="0.3"/>
    <row r="1277" s="1" customFormat="1" ht="19.5" customHeight="1" x14ac:dyDescent="0.3"/>
    <row r="1278" s="1" customFormat="1" ht="19.5" customHeight="1" x14ac:dyDescent="0.3"/>
    <row r="1279" s="1" customFormat="1" ht="19.5" customHeight="1" x14ac:dyDescent="0.3"/>
    <row r="1280" s="1" customFormat="1" ht="19.5" customHeight="1" x14ac:dyDescent="0.3"/>
    <row r="1281" s="1" customFormat="1" ht="19.5" customHeight="1" x14ac:dyDescent="0.3"/>
    <row r="1282" s="1" customFormat="1" ht="19.5" customHeight="1" x14ac:dyDescent="0.3"/>
    <row r="1283" s="1" customFormat="1" ht="19.5" customHeight="1" x14ac:dyDescent="0.3"/>
    <row r="1284" s="1" customFormat="1" ht="19.5" customHeight="1" x14ac:dyDescent="0.3"/>
    <row r="1285" s="1" customFormat="1" ht="19.5" customHeight="1" x14ac:dyDescent="0.3"/>
    <row r="1286" s="1" customFormat="1" ht="19.5" customHeight="1" x14ac:dyDescent="0.3"/>
    <row r="1287" s="1" customFormat="1" ht="19.5" customHeight="1" x14ac:dyDescent="0.3"/>
    <row r="1288" s="1" customFormat="1" ht="19.5" customHeight="1" x14ac:dyDescent="0.3"/>
    <row r="1289" s="1" customFormat="1" ht="19.5" customHeight="1" x14ac:dyDescent="0.3"/>
    <row r="1290" s="1" customFormat="1" ht="19.5" customHeight="1" x14ac:dyDescent="0.3"/>
    <row r="1291" s="1" customFormat="1" ht="19.5" customHeight="1" x14ac:dyDescent="0.3"/>
    <row r="1292" s="1" customFormat="1" ht="19.5" customHeight="1" x14ac:dyDescent="0.3"/>
    <row r="1293" s="1" customFormat="1" ht="19.5" customHeight="1" x14ac:dyDescent="0.3"/>
    <row r="1294" s="1" customFormat="1" ht="19.5" customHeight="1" x14ac:dyDescent="0.3"/>
    <row r="1295" s="1" customFormat="1" ht="19.5" customHeight="1" x14ac:dyDescent="0.3"/>
    <row r="1296" s="1" customFormat="1" ht="19.5" customHeight="1" x14ac:dyDescent="0.3"/>
    <row r="1297" s="1" customFormat="1" ht="19.5" customHeight="1" x14ac:dyDescent="0.3"/>
    <row r="1298" s="1" customFormat="1" ht="19.5" customHeight="1" x14ac:dyDescent="0.3"/>
    <row r="1299" s="1" customFormat="1" ht="19.5" customHeight="1" x14ac:dyDescent="0.3"/>
    <row r="1300" s="1" customFormat="1" ht="19.5" customHeight="1" x14ac:dyDescent="0.3"/>
    <row r="1301" s="1" customFormat="1" ht="19.5" customHeight="1" x14ac:dyDescent="0.3"/>
    <row r="1302" s="1" customFormat="1" ht="19.5" customHeight="1" x14ac:dyDescent="0.3"/>
    <row r="1303" s="1" customFormat="1" ht="19.5" customHeight="1" x14ac:dyDescent="0.3"/>
    <row r="1304" s="1" customFormat="1" ht="19.5" customHeight="1" x14ac:dyDescent="0.3"/>
    <row r="1305" s="1" customFormat="1" ht="19.5" customHeight="1" x14ac:dyDescent="0.3"/>
    <row r="1306" s="1" customFormat="1" ht="19.5" customHeight="1" x14ac:dyDescent="0.3"/>
    <row r="1307" s="1" customFormat="1" ht="19.5" customHeight="1" x14ac:dyDescent="0.3"/>
    <row r="1308" s="1" customFormat="1" ht="19.5" customHeight="1" x14ac:dyDescent="0.3"/>
    <row r="1309" s="1" customFormat="1" ht="19.5" customHeight="1" x14ac:dyDescent="0.3"/>
    <row r="1310" s="1" customFormat="1" ht="19.5" customHeight="1" x14ac:dyDescent="0.3"/>
    <row r="1311" s="1" customFormat="1" ht="19.5" customHeight="1" x14ac:dyDescent="0.3"/>
    <row r="1312" s="1" customFormat="1" ht="19.5" customHeight="1" x14ac:dyDescent="0.3"/>
    <row r="1313" s="1" customFormat="1" ht="19.5" customHeight="1" x14ac:dyDescent="0.3"/>
    <row r="1314" s="1" customFormat="1" ht="19.5" customHeight="1" x14ac:dyDescent="0.3"/>
    <row r="1315" s="1" customFormat="1" ht="19.5" customHeight="1" x14ac:dyDescent="0.3"/>
    <row r="1316" s="1" customFormat="1" ht="19.5" customHeight="1" x14ac:dyDescent="0.3"/>
    <row r="1317" s="1" customFormat="1" ht="19.5" customHeight="1" x14ac:dyDescent="0.3"/>
    <row r="1318" s="1" customFormat="1" ht="19.5" customHeight="1" x14ac:dyDescent="0.3"/>
    <row r="1319" s="1" customFormat="1" ht="19.5" customHeight="1" x14ac:dyDescent="0.3"/>
    <row r="1320" s="1" customFormat="1" ht="19.5" customHeight="1" x14ac:dyDescent="0.3"/>
    <row r="1321" s="1" customFormat="1" ht="19.5" customHeight="1" x14ac:dyDescent="0.3"/>
    <row r="1322" s="1" customFormat="1" ht="19.5" customHeight="1" x14ac:dyDescent="0.3"/>
    <row r="1323" s="1" customFormat="1" ht="19.5" customHeight="1" x14ac:dyDescent="0.3"/>
    <row r="1324" s="1" customFormat="1" ht="19.5" customHeight="1" x14ac:dyDescent="0.3"/>
    <row r="1325" s="1" customFormat="1" ht="19.5" customHeight="1" x14ac:dyDescent="0.3"/>
    <row r="1326" s="1" customFormat="1" ht="19.5" customHeight="1" x14ac:dyDescent="0.3"/>
    <row r="1327" s="1" customFormat="1" ht="19.5" customHeight="1" x14ac:dyDescent="0.3"/>
    <row r="1328" s="1" customFormat="1" ht="19.5" customHeight="1" x14ac:dyDescent="0.3"/>
    <row r="1329" s="1" customFormat="1" ht="19.5" customHeight="1" x14ac:dyDescent="0.3"/>
    <row r="1330" s="1" customFormat="1" ht="19.5" customHeight="1" x14ac:dyDescent="0.3"/>
    <row r="1331" s="1" customFormat="1" ht="19.5" customHeight="1" x14ac:dyDescent="0.3"/>
    <row r="1332" s="1" customFormat="1" ht="19.5" customHeight="1" x14ac:dyDescent="0.3"/>
    <row r="1333" s="1" customFormat="1" ht="19.5" customHeight="1" x14ac:dyDescent="0.3"/>
    <row r="1334" s="1" customFormat="1" ht="19.5" customHeight="1" x14ac:dyDescent="0.3"/>
    <row r="1335" s="1" customFormat="1" ht="19.5" customHeight="1" x14ac:dyDescent="0.3"/>
    <row r="1336" s="1" customFormat="1" ht="19.5" customHeight="1" x14ac:dyDescent="0.3"/>
    <row r="1337" s="1" customFormat="1" ht="19.5" customHeight="1" x14ac:dyDescent="0.3"/>
    <row r="1338" s="1" customFormat="1" ht="19.5" customHeight="1" x14ac:dyDescent="0.3"/>
    <row r="1339" s="1" customFormat="1" ht="19.5" customHeight="1" x14ac:dyDescent="0.3"/>
    <row r="1340" s="1" customFormat="1" ht="19.5" customHeight="1" x14ac:dyDescent="0.3"/>
    <row r="1341" s="1" customFormat="1" ht="19.5" customHeight="1" x14ac:dyDescent="0.3"/>
    <row r="1342" s="1" customFormat="1" ht="19.5" customHeight="1" x14ac:dyDescent="0.3"/>
    <row r="1343" s="1" customFormat="1" ht="19.5" customHeight="1" x14ac:dyDescent="0.3"/>
    <row r="1344" s="1" customFormat="1" ht="19.5" customHeight="1" x14ac:dyDescent="0.3"/>
    <row r="1345" s="1" customFormat="1" ht="19.5" customHeight="1" x14ac:dyDescent="0.3"/>
    <row r="1346" s="1" customFormat="1" ht="19.5" customHeight="1" x14ac:dyDescent="0.3"/>
    <row r="1347" s="1" customFormat="1" ht="19.5" customHeight="1" x14ac:dyDescent="0.3"/>
    <row r="1348" s="1" customFormat="1" ht="19.5" customHeight="1" x14ac:dyDescent="0.3"/>
    <row r="1349" s="1" customFormat="1" ht="19.5" customHeight="1" x14ac:dyDescent="0.3"/>
    <row r="1350" s="1" customFormat="1" ht="19.5" customHeight="1" x14ac:dyDescent="0.3"/>
    <row r="1351" s="1" customFormat="1" ht="19.5" customHeight="1" x14ac:dyDescent="0.3"/>
    <row r="1352" s="1" customFormat="1" ht="19.5" customHeight="1" x14ac:dyDescent="0.3"/>
    <row r="1353" s="1" customFormat="1" ht="19.5" customHeight="1" x14ac:dyDescent="0.3"/>
    <row r="1354" s="1" customFormat="1" ht="19.5" customHeight="1" x14ac:dyDescent="0.3"/>
    <row r="1355" s="1" customFormat="1" ht="19.5" customHeight="1" x14ac:dyDescent="0.3"/>
    <row r="1356" s="1" customFormat="1" ht="19.5" customHeight="1" x14ac:dyDescent="0.3"/>
    <row r="1357" s="1" customFormat="1" ht="19.5" customHeight="1" x14ac:dyDescent="0.3"/>
    <row r="1358" s="1" customFormat="1" ht="19.5" customHeight="1" x14ac:dyDescent="0.3"/>
    <row r="1359" s="1" customFormat="1" ht="19.5" customHeight="1" x14ac:dyDescent="0.3"/>
    <row r="1360" s="1" customFormat="1" ht="19.5" customHeight="1" x14ac:dyDescent="0.3"/>
    <row r="1361" s="1" customFormat="1" ht="19.5" customHeight="1" x14ac:dyDescent="0.3"/>
    <row r="1362" s="1" customFormat="1" ht="19.5" customHeight="1" x14ac:dyDescent="0.3"/>
    <row r="1363" s="1" customFormat="1" ht="19.5" customHeight="1" x14ac:dyDescent="0.3"/>
    <row r="1364" s="1" customFormat="1" ht="19.5" customHeight="1" x14ac:dyDescent="0.3"/>
    <row r="1365" s="1" customFormat="1" ht="19.5" customHeight="1" x14ac:dyDescent="0.3"/>
    <row r="1366" s="1" customFormat="1" ht="19.5" customHeight="1" x14ac:dyDescent="0.3"/>
    <row r="1367" s="1" customFormat="1" ht="19.5" customHeight="1" x14ac:dyDescent="0.3"/>
    <row r="1368" s="1" customFormat="1" ht="19.5" customHeight="1" x14ac:dyDescent="0.3"/>
    <row r="1369" s="1" customFormat="1" ht="19.5" customHeight="1" x14ac:dyDescent="0.3"/>
    <row r="1370" s="1" customFormat="1" ht="19.5" customHeight="1" x14ac:dyDescent="0.3"/>
    <row r="1371" s="1" customFormat="1" ht="19.5" customHeight="1" x14ac:dyDescent="0.3"/>
    <row r="1372" s="1" customFormat="1" ht="19.5" customHeight="1" x14ac:dyDescent="0.3"/>
    <row r="1373" s="1" customFormat="1" ht="19.5" customHeight="1" x14ac:dyDescent="0.3"/>
    <row r="1374" s="1" customFormat="1" ht="19.5" customHeight="1" x14ac:dyDescent="0.3"/>
    <row r="1375" s="1" customFormat="1" ht="19.5" customHeight="1" x14ac:dyDescent="0.3"/>
    <row r="1376" s="1" customFormat="1" ht="19.5" customHeight="1" x14ac:dyDescent="0.3"/>
    <row r="1377" s="1" customFormat="1" ht="19.5" customHeight="1" x14ac:dyDescent="0.3"/>
    <row r="1378" s="1" customFormat="1" ht="19.5" customHeight="1" x14ac:dyDescent="0.3"/>
    <row r="1379" s="1" customFormat="1" ht="19.5" customHeight="1" x14ac:dyDescent="0.3"/>
    <row r="1380" s="1" customFormat="1" ht="19.5" customHeight="1" x14ac:dyDescent="0.3"/>
    <row r="1381" s="1" customFormat="1" ht="19.5" customHeight="1" x14ac:dyDescent="0.3"/>
    <row r="1382" s="1" customFormat="1" ht="19.5" customHeight="1" x14ac:dyDescent="0.3"/>
    <row r="1383" s="1" customFormat="1" ht="19.5" customHeight="1" x14ac:dyDescent="0.3"/>
    <row r="1384" s="1" customFormat="1" ht="19.5" customHeight="1" x14ac:dyDescent="0.3"/>
    <row r="1385" s="1" customFormat="1" ht="19.5" customHeight="1" x14ac:dyDescent="0.3"/>
    <row r="1386" s="1" customFormat="1" ht="19.5" customHeight="1" x14ac:dyDescent="0.3"/>
    <row r="1387" s="1" customFormat="1" ht="19.5" customHeight="1" x14ac:dyDescent="0.3"/>
    <row r="1388" s="1" customFormat="1" ht="19.5" customHeight="1" x14ac:dyDescent="0.3"/>
    <row r="1389" s="1" customFormat="1" ht="19.5" customHeight="1" x14ac:dyDescent="0.3"/>
    <row r="1390" s="1" customFormat="1" ht="19.5" customHeight="1" x14ac:dyDescent="0.3"/>
    <row r="1391" s="1" customFormat="1" ht="19.5" customHeight="1" x14ac:dyDescent="0.3"/>
    <row r="1392" s="1" customFormat="1" ht="19.5" customHeight="1" x14ac:dyDescent="0.3"/>
    <row r="1393" s="1" customFormat="1" ht="19.5" customHeight="1" x14ac:dyDescent="0.3"/>
    <row r="1394" s="1" customFormat="1" ht="19.5" customHeight="1" x14ac:dyDescent="0.3"/>
    <row r="1395" s="1" customFormat="1" ht="19.5" customHeight="1" x14ac:dyDescent="0.3"/>
    <row r="1396" s="1" customFormat="1" ht="19.5" customHeight="1" x14ac:dyDescent="0.3"/>
    <row r="1397" s="1" customFormat="1" ht="19.5" customHeight="1" x14ac:dyDescent="0.3"/>
    <row r="1398" s="1" customFormat="1" ht="19.5" customHeight="1" x14ac:dyDescent="0.3"/>
    <row r="1399" s="1" customFormat="1" ht="19.5" customHeight="1" x14ac:dyDescent="0.3"/>
    <row r="1400" s="1" customFormat="1" ht="19.5" customHeight="1" x14ac:dyDescent="0.3"/>
    <row r="1401" s="1" customFormat="1" ht="19.5" customHeight="1" x14ac:dyDescent="0.3"/>
    <row r="1402" s="1" customFormat="1" ht="19.5" customHeight="1" x14ac:dyDescent="0.3"/>
    <row r="1403" s="1" customFormat="1" ht="19.5" customHeight="1" x14ac:dyDescent="0.3"/>
    <row r="1404" s="1" customFormat="1" ht="19.5" customHeight="1" x14ac:dyDescent="0.3"/>
    <row r="1405" s="1" customFormat="1" ht="19.5" customHeight="1" x14ac:dyDescent="0.3"/>
    <row r="1406" s="1" customFormat="1" ht="19.5" customHeight="1" x14ac:dyDescent="0.3"/>
    <row r="1407" s="1" customFormat="1" ht="19.5" customHeight="1" x14ac:dyDescent="0.3"/>
    <row r="1408" s="1" customFormat="1" ht="19.5" customHeight="1" x14ac:dyDescent="0.3"/>
    <row r="1409" s="1" customFormat="1" ht="19.5" customHeight="1" x14ac:dyDescent="0.3"/>
    <row r="1410" s="1" customFormat="1" ht="19.5" customHeight="1" x14ac:dyDescent="0.3"/>
    <row r="1411" s="1" customFormat="1" ht="19.5" customHeight="1" x14ac:dyDescent="0.3"/>
    <row r="1412" s="1" customFormat="1" ht="19.5" customHeight="1" x14ac:dyDescent="0.3"/>
    <row r="1413" s="1" customFormat="1" ht="19.5" customHeight="1" x14ac:dyDescent="0.3"/>
    <row r="1414" s="1" customFormat="1" ht="19.5" customHeight="1" x14ac:dyDescent="0.3"/>
    <row r="1415" s="1" customFormat="1" ht="19.5" customHeight="1" x14ac:dyDescent="0.3"/>
    <row r="1416" s="1" customFormat="1" ht="19.5" customHeight="1" x14ac:dyDescent="0.3"/>
    <row r="1417" s="1" customFormat="1" ht="19.5" customHeight="1" x14ac:dyDescent="0.3"/>
    <row r="1418" s="1" customFormat="1" ht="19.5" customHeight="1" x14ac:dyDescent="0.3"/>
    <row r="1419" s="1" customFormat="1" ht="19.5" customHeight="1" x14ac:dyDescent="0.3"/>
    <row r="1420" s="1" customFormat="1" ht="19.5" customHeight="1" x14ac:dyDescent="0.3"/>
    <row r="1421" s="1" customFormat="1" ht="19.5" customHeight="1" x14ac:dyDescent="0.3"/>
    <row r="1422" s="1" customFormat="1" ht="19.5" customHeight="1" x14ac:dyDescent="0.3"/>
    <row r="1423" s="1" customFormat="1" ht="19.5" customHeight="1" x14ac:dyDescent="0.3"/>
    <row r="1424" s="1" customFormat="1" ht="19.5" customHeight="1" x14ac:dyDescent="0.3"/>
    <row r="1425" s="1" customFormat="1" ht="19.5" customHeight="1" x14ac:dyDescent="0.3"/>
    <row r="1426" s="1" customFormat="1" ht="19.5" customHeight="1" x14ac:dyDescent="0.3"/>
    <row r="1427" s="1" customFormat="1" ht="19.5" customHeight="1" x14ac:dyDescent="0.3"/>
    <row r="1428" s="1" customFormat="1" ht="19.5" customHeight="1" x14ac:dyDescent="0.3"/>
    <row r="1429" s="1" customFormat="1" ht="19.5" customHeight="1" x14ac:dyDescent="0.3"/>
    <row r="1430" s="1" customFormat="1" ht="19.5" customHeight="1" x14ac:dyDescent="0.3"/>
    <row r="1431" s="1" customFormat="1" ht="19.5" customHeight="1" x14ac:dyDescent="0.3"/>
    <row r="1432" s="1" customFormat="1" ht="19.5" customHeight="1" x14ac:dyDescent="0.3"/>
    <row r="1433" s="1" customFormat="1" ht="19.5" customHeight="1" x14ac:dyDescent="0.3"/>
    <row r="1434" s="1" customFormat="1" ht="19.5" customHeight="1" x14ac:dyDescent="0.3"/>
    <row r="1435" s="1" customFormat="1" ht="19.5" customHeight="1" x14ac:dyDescent="0.3"/>
    <row r="1436" s="1" customFormat="1" ht="19.5" customHeight="1" x14ac:dyDescent="0.3"/>
    <row r="1437" s="1" customFormat="1" ht="19.5" customHeight="1" x14ac:dyDescent="0.3"/>
    <row r="1438" s="1" customFormat="1" ht="19.5" customHeight="1" x14ac:dyDescent="0.3"/>
    <row r="1439" s="1" customFormat="1" ht="19.5" customHeight="1" x14ac:dyDescent="0.3"/>
    <row r="1440" s="1" customFormat="1" ht="19.5" customHeight="1" x14ac:dyDescent="0.3"/>
    <row r="1441" s="1" customFormat="1" ht="19.5" customHeight="1" x14ac:dyDescent="0.3"/>
    <row r="1442" s="1" customFormat="1" ht="19.5" customHeight="1" x14ac:dyDescent="0.3"/>
    <row r="1443" s="1" customFormat="1" ht="19.5" customHeight="1" x14ac:dyDescent="0.3"/>
    <row r="1444" s="1" customFormat="1" ht="19.5" customHeight="1" x14ac:dyDescent="0.3"/>
    <row r="1445" s="1" customFormat="1" ht="19.5" customHeight="1" x14ac:dyDescent="0.3"/>
    <row r="1446" s="1" customFormat="1" ht="19.5" customHeight="1" x14ac:dyDescent="0.3"/>
    <row r="1447" s="1" customFormat="1" ht="19.5" customHeight="1" x14ac:dyDescent="0.3"/>
    <row r="1448" s="1" customFormat="1" ht="19.5" customHeight="1" x14ac:dyDescent="0.3"/>
    <row r="1449" s="1" customFormat="1" ht="19.5" customHeight="1" x14ac:dyDescent="0.3"/>
    <row r="1450" s="1" customFormat="1" ht="19.5" customHeight="1" x14ac:dyDescent="0.3"/>
    <row r="1451" s="1" customFormat="1" ht="19.5" customHeight="1" x14ac:dyDescent="0.3"/>
    <row r="1452" s="1" customFormat="1" ht="19.5" customHeight="1" x14ac:dyDescent="0.3"/>
    <row r="1453" s="1" customFormat="1" ht="19.5" customHeight="1" x14ac:dyDescent="0.3"/>
    <row r="1454" s="1" customFormat="1" ht="19.5" customHeight="1" x14ac:dyDescent="0.3"/>
    <row r="1455" s="1" customFormat="1" ht="19.5" customHeight="1" x14ac:dyDescent="0.3"/>
    <row r="1456" s="1" customFormat="1" ht="19.5" customHeight="1" x14ac:dyDescent="0.3"/>
    <row r="1457" s="1" customFormat="1" ht="19.5" customHeight="1" x14ac:dyDescent="0.3"/>
    <row r="1458" s="1" customFormat="1" ht="19.5" customHeight="1" x14ac:dyDescent="0.3"/>
    <row r="1459" s="1" customFormat="1" ht="19.5" customHeight="1" x14ac:dyDescent="0.3"/>
    <row r="1460" s="1" customFormat="1" ht="19.5" customHeight="1" x14ac:dyDescent="0.3"/>
    <row r="1461" s="1" customFormat="1" ht="19.5" customHeight="1" x14ac:dyDescent="0.3"/>
    <row r="1462" s="1" customFormat="1" ht="19.5" customHeight="1" x14ac:dyDescent="0.3"/>
    <row r="1463" s="1" customFormat="1" ht="19.5" customHeight="1" x14ac:dyDescent="0.3"/>
    <row r="1464" s="1" customFormat="1" ht="19.5" customHeight="1" x14ac:dyDescent="0.3"/>
    <row r="1465" s="1" customFormat="1" ht="19.5" customHeight="1" x14ac:dyDescent="0.3"/>
    <row r="1466" s="1" customFormat="1" ht="19.5" customHeight="1" x14ac:dyDescent="0.3"/>
    <row r="1467" s="1" customFormat="1" ht="19.5" customHeight="1" x14ac:dyDescent="0.3"/>
    <row r="1468" s="1" customFormat="1" ht="19.5" customHeight="1" x14ac:dyDescent="0.3"/>
    <row r="1469" s="1" customFormat="1" ht="19.5" customHeight="1" x14ac:dyDescent="0.3"/>
    <row r="1470" s="1" customFormat="1" ht="19.5" customHeight="1" x14ac:dyDescent="0.3"/>
    <row r="1471" s="1" customFormat="1" ht="19.5" customHeight="1" x14ac:dyDescent="0.3"/>
    <row r="1472" s="1" customFormat="1" ht="19.5" customHeight="1" x14ac:dyDescent="0.3"/>
    <row r="1473" s="1" customFormat="1" ht="19.5" customHeight="1" x14ac:dyDescent="0.3"/>
    <row r="1474" s="1" customFormat="1" ht="19.5" customHeight="1" x14ac:dyDescent="0.3"/>
    <row r="1475" s="1" customFormat="1" ht="19.5" customHeight="1" x14ac:dyDescent="0.3"/>
    <row r="1476" s="1" customFormat="1" ht="19.5" customHeight="1" x14ac:dyDescent="0.3"/>
    <row r="1477" s="1" customFormat="1" ht="19.5" customHeight="1" x14ac:dyDescent="0.3"/>
    <row r="1478" s="1" customFormat="1" ht="19.5" customHeight="1" x14ac:dyDescent="0.3"/>
    <row r="1479" s="1" customFormat="1" ht="19.5" customHeight="1" x14ac:dyDescent="0.3"/>
    <row r="1480" s="1" customFormat="1" ht="19.5" customHeight="1" x14ac:dyDescent="0.3"/>
    <row r="1481" s="1" customFormat="1" ht="19.5" customHeight="1" x14ac:dyDescent="0.3"/>
    <row r="1482" s="1" customFormat="1" ht="19.5" customHeight="1" x14ac:dyDescent="0.3"/>
    <row r="1483" s="1" customFormat="1" ht="19.5" customHeight="1" x14ac:dyDescent="0.3"/>
    <row r="1484" s="1" customFormat="1" ht="19.5" customHeight="1" x14ac:dyDescent="0.3"/>
    <row r="1485" s="1" customFormat="1" ht="19.5" customHeight="1" x14ac:dyDescent="0.3"/>
    <row r="1486" s="1" customFormat="1" ht="19.5" customHeight="1" x14ac:dyDescent="0.3"/>
    <row r="1487" s="1" customFormat="1" ht="19.5" customHeight="1" x14ac:dyDescent="0.3"/>
    <row r="1488" s="1" customFormat="1" ht="19.5" customHeight="1" x14ac:dyDescent="0.3"/>
    <row r="1489" s="1" customFormat="1" ht="19.5" customHeight="1" x14ac:dyDescent="0.3"/>
    <row r="1490" s="1" customFormat="1" ht="19.5" customHeight="1" x14ac:dyDescent="0.3"/>
    <row r="1491" s="1" customFormat="1" ht="19.5" customHeight="1" x14ac:dyDescent="0.3"/>
    <row r="1492" s="1" customFormat="1" ht="19.5" customHeight="1" x14ac:dyDescent="0.3"/>
    <row r="1493" s="1" customFormat="1" ht="19.5" customHeight="1" x14ac:dyDescent="0.3"/>
    <row r="1494" s="1" customFormat="1" ht="19.5" customHeight="1" x14ac:dyDescent="0.3"/>
    <row r="1495" s="1" customFormat="1" ht="19.5" customHeight="1" x14ac:dyDescent="0.3"/>
    <row r="1496" s="1" customFormat="1" ht="19.5" customHeight="1" x14ac:dyDescent="0.3"/>
    <row r="1497" s="1" customFormat="1" ht="19.5" customHeight="1" x14ac:dyDescent="0.3"/>
    <row r="1498" s="1" customFormat="1" ht="19.5" customHeight="1" x14ac:dyDescent="0.3"/>
    <row r="1499" s="1" customFormat="1" ht="19.5" customHeight="1" x14ac:dyDescent="0.3"/>
    <row r="1500" s="1" customFormat="1" ht="19.5" customHeight="1" x14ac:dyDescent="0.3"/>
    <row r="1501" s="1" customFormat="1" ht="19.5" customHeight="1" x14ac:dyDescent="0.3"/>
    <row r="1502" s="1" customFormat="1" ht="19.5" customHeight="1" x14ac:dyDescent="0.3"/>
    <row r="1503" s="1" customFormat="1" ht="19.5" customHeight="1" x14ac:dyDescent="0.3"/>
    <row r="1504" s="1" customFormat="1" ht="19.5" customHeight="1" x14ac:dyDescent="0.3"/>
    <row r="1505" s="1" customFormat="1" ht="19.5" customHeight="1" x14ac:dyDescent="0.3"/>
    <row r="1506" s="1" customFormat="1" ht="19.5" customHeight="1" x14ac:dyDescent="0.3"/>
    <row r="1507" s="1" customFormat="1" ht="19.5" customHeight="1" x14ac:dyDescent="0.3"/>
    <row r="1508" s="1" customFormat="1" ht="19.5" customHeight="1" x14ac:dyDescent="0.3"/>
    <row r="1509" s="1" customFormat="1" ht="19.5" customHeight="1" x14ac:dyDescent="0.3"/>
    <row r="1510" s="1" customFormat="1" ht="19.5" customHeight="1" x14ac:dyDescent="0.3"/>
    <row r="1511" s="1" customFormat="1" ht="19.5" customHeight="1" x14ac:dyDescent="0.3"/>
    <row r="1512" s="1" customFormat="1" ht="19.5" customHeight="1" x14ac:dyDescent="0.3"/>
    <row r="1513" s="1" customFormat="1" ht="19.5" customHeight="1" x14ac:dyDescent="0.3"/>
    <row r="1514" s="1" customFormat="1" ht="19.5" customHeight="1" x14ac:dyDescent="0.3"/>
    <row r="1515" s="1" customFormat="1" ht="19.5" customHeight="1" x14ac:dyDescent="0.3"/>
    <row r="1516" s="1" customFormat="1" ht="19.5" customHeight="1" x14ac:dyDescent="0.3"/>
    <row r="1517" s="1" customFormat="1" ht="19.5" customHeight="1" x14ac:dyDescent="0.3"/>
    <row r="1518" s="1" customFormat="1" ht="19.5" customHeight="1" x14ac:dyDescent="0.3"/>
    <row r="1519" s="1" customFormat="1" ht="19.5" customHeight="1" x14ac:dyDescent="0.3"/>
    <row r="1520" s="1" customFormat="1" ht="19.5" customHeight="1" x14ac:dyDescent="0.3"/>
    <row r="1521" s="1" customFormat="1" ht="19.5" customHeight="1" x14ac:dyDescent="0.3"/>
    <row r="1522" s="1" customFormat="1" ht="19.5" customHeight="1" x14ac:dyDescent="0.3"/>
    <row r="1523" s="1" customFormat="1" ht="19.5" customHeight="1" x14ac:dyDescent="0.3"/>
    <row r="1524" s="1" customFormat="1" ht="19.5" customHeight="1" x14ac:dyDescent="0.3"/>
    <row r="1525" s="1" customFormat="1" ht="19.5" customHeight="1" x14ac:dyDescent="0.3"/>
    <row r="1526" s="1" customFormat="1" ht="19.5" customHeight="1" x14ac:dyDescent="0.3"/>
    <row r="1527" s="1" customFormat="1" ht="19.5" customHeight="1" x14ac:dyDescent="0.3"/>
    <row r="1528" s="1" customFormat="1" ht="19.5" customHeight="1" x14ac:dyDescent="0.3"/>
    <row r="1529" s="1" customFormat="1" ht="19.5" customHeight="1" x14ac:dyDescent="0.3"/>
    <row r="1530" s="1" customFormat="1" ht="19.5" customHeight="1" x14ac:dyDescent="0.3"/>
    <row r="1531" s="1" customFormat="1" ht="19.5" customHeight="1" x14ac:dyDescent="0.3"/>
    <row r="1532" s="1" customFormat="1" ht="19.5" customHeight="1" x14ac:dyDescent="0.3"/>
    <row r="1533" s="1" customFormat="1" ht="19.5" customHeight="1" x14ac:dyDescent="0.3"/>
    <row r="1534" s="1" customFormat="1" ht="19.5" customHeight="1" x14ac:dyDescent="0.3"/>
    <row r="1535" s="1" customFormat="1" ht="19.5" customHeight="1" x14ac:dyDescent="0.3"/>
    <row r="1536" s="1" customFormat="1" ht="19.5" customHeight="1" x14ac:dyDescent="0.3"/>
    <row r="1537" s="1" customFormat="1" ht="19.5" customHeight="1" x14ac:dyDescent="0.3"/>
    <row r="1538" s="1" customFormat="1" ht="19.5" customHeight="1" x14ac:dyDescent="0.3"/>
    <row r="1539" s="1" customFormat="1" ht="19.5" customHeight="1" x14ac:dyDescent="0.3"/>
    <row r="1540" s="1" customFormat="1" ht="19.5" customHeight="1" x14ac:dyDescent="0.3"/>
    <row r="1541" s="1" customFormat="1" ht="19.5" customHeight="1" x14ac:dyDescent="0.3"/>
    <row r="1542" s="1" customFormat="1" ht="19.5" customHeight="1" x14ac:dyDescent="0.3"/>
    <row r="1543" s="1" customFormat="1" ht="19.5" customHeight="1" x14ac:dyDescent="0.3"/>
    <row r="1544" s="1" customFormat="1" ht="19.5" customHeight="1" x14ac:dyDescent="0.3"/>
    <row r="1545" s="1" customFormat="1" ht="19.5" customHeight="1" x14ac:dyDescent="0.3"/>
    <row r="1546" s="1" customFormat="1" ht="19.5" customHeight="1" x14ac:dyDescent="0.3"/>
    <row r="1547" s="1" customFormat="1" ht="19.5" customHeight="1" x14ac:dyDescent="0.3"/>
    <row r="1548" s="1" customFormat="1" ht="19.5" customHeight="1" x14ac:dyDescent="0.3"/>
    <row r="1549" s="1" customFormat="1" ht="19.5" customHeight="1" x14ac:dyDescent="0.3"/>
    <row r="1550" s="1" customFormat="1" ht="19.5" customHeight="1" x14ac:dyDescent="0.3"/>
    <row r="1551" s="1" customFormat="1" ht="19.5" customHeight="1" x14ac:dyDescent="0.3"/>
    <row r="1552" s="1" customFormat="1" ht="19.5" customHeight="1" x14ac:dyDescent="0.3"/>
    <row r="1553" s="1" customFormat="1" ht="19.5" customHeight="1" x14ac:dyDescent="0.3"/>
    <row r="1554" s="1" customFormat="1" ht="19.5" customHeight="1" x14ac:dyDescent="0.3"/>
    <row r="1555" s="1" customFormat="1" ht="19.5" customHeight="1" x14ac:dyDescent="0.3"/>
    <row r="1556" s="1" customFormat="1" ht="19.5" customHeight="1" x14ac:dyDescent="0.3"/>
    <row r="1557" s="1" customFormat="1" ht="19.5" customHeight="1" x14ac:dyDescent="0.3"/>
    <row r="1558" s="1" customFormat="1" ht="19.5" customHeight="1" x14ac:dyDescent="0.3"/>
    <row r="1559" s="1" customFormat="1" ht="19.5" customHeight="1" x14ac:dyDescent="0.3"/>
    <row r="1560" s="1" customFormat="1" ht="19.5" customHeight="1" x14ac:dyDescent="0.3"/>
    <row r="1561" s="1" customFormat="1" ht="19.5" customHeight="1" x14ac:dyDescent="0.3"/>
    <row r="1562" s="1" customFormat="1" ht="19.5" customHeight="1" x14ac:dyDescent="0.3"/>
    <row r="1563" s="1" customFormat="1" ht="19.5" customHeight="1" x14ac:dyDescent="0.3"/>
    <row r="1564" s="1" customFormat="1" ht="19.5" customHeight="1" x14ac:dyDescent="0.3"/>
    <row r="1565" s="1" customFormat="1" ht="19.5" customHeight="1" x14ac:dyDescent="0.3"/>
    <row r="1566" s="1" customFormat="1" ht="19.5" customHeight="1" x14ac:dyDescent="0.3"/>
    <row r="1567" s="1" customFormat="1" ht="19.5" customHeight="1" x14ac:dyDescent="0.3"/>
    <row r="1568" s="1" customFormat="1" ht="19.5" customHeight="1" x14ac:dyDescent="0.3"/>
    <row r="1569" s="1" customFormat="1" ht="19.5" customHeight="1" x14ac:dyDescent="0.3"/>
    <row r="1570" s="1" customFormat="1" ht="19.5" customHeight="1" x14ac:dyDescent="0.3"/>
    <row r="1571" s="1" customFormat="1" ht="19.5" customHeight="1" x14ac:dyDescent="0.3"/>
    <row r="1572" s="1" customFormat="1" ht="19.5" customHeight="1" x14ac:dyDescent="0.3"/>
    <row r="1573" s="1" customFormat="1" ht="19.5" customHeight="1" x14ac:dyDescent="0.3"/>
    <row r="1574" s="1" customFormat="1" ht="19.5" customHeight="1" x14ac:dyDescent="0.3"/>
    <row r="1575" s="1" customFormat="1" ht="19.5" customHeight="1" x14ac:dyDescent="0.3"/>
    <row r="1576" s="1" customFormat="1" ht="19.5" customHeight="1" x14ac:dyDescent="0.3"/>
    <row r="1577" s="1" customFormat="1" ht="19.5" customHeight="1" x14ac:dyDescent="0.3"/>
    <row r="1578" s="1" customFormat="1" ht="19.5" customHeight="1" x14ac:dyDescent="0.3"/>
    <row r="1579" s="1" customFormat="1" ht="19.5" customHeight="1" x14ac:dyDescent="0.3"/>
    <row r="1580" s="1" customFormat="1" ht="19.5" customHeight="1" x14ac:dyDescent="0.3"/>
    <row r="1581" s="1" customFormat="1" ht="19.5" customHeight="1" x14ac:dyDescent="0.3"/>
    <row r="1582" s="1" customFormat="1" ht="19.5" customHeight="1" x14ac:dyDescent="0.3"/>
    <row r="1583" s="1" customFormat="1" ht="19.5" customHeight="1" x14ac:dyDescent="0.3"/>
    <row r="1584" s="1" customFormat="1" ht="19.5" customHeight="1" x14ac:dyDescent="0.3"/>
    <row r="1585" s="1" customFormat="1" ht="19.5" customHeight="1" x14ac:dyDescent="0.3"/>
    <row r="1586" s="1" customFormat="1" ht="19.5" customHeight="1" x14ac:dyDescent="0.3"/>
    <row r="1587" s="1" customFormat="1" ht="19.5" customHeight="1" x14ac:dyDescent="0.3"/>
    <row r="1588" s="1" customFormat="1" ht="19.5" customHeight="1" x14ac:dyDescent="0.3"/>
    <row r="1589" s="1" customFormat="1" ht="19.5" customHeight="1" x14ac:dyDescent="0.3"/>
    <row r="1590" s="1" customFormat="1" ht="19.5" customHeight="1" x14ac:dyDescent="0.3"/>
    <row r="1591" s="1" customFormat="1" ht="19.5" customHeight="1" x14ac:dyDescent="0.3"/>
    <row r="1592" s="1" customFormat="1" ht="19.5" customHeight="1" x14ac:dyDescent="0.3"/>
    <row r="1593" s="1" customFormat="1" ht="19.5" customHeight="1" x14ac:dyDescent="0.3"/>
    <row r="1594" s="1" customFormat="1" ht="19.5" customHeight="1" x14ac:dyDescent="0.3"/>
    <row r="1595" s="1" customFormat="1" ht="19.5" customHeight="1" x14ac:dyDescent="0.3"/>
    <row r="1596" s="1" customFormat="1" ht="19.5" customHeight="1" x14ac:dyDescent="0.3"/>
    <row r="1597" s="1" customFormat="1" ht="19.5" customHeight="1" x14ac:dyDescent="0.3"/>
    <row r="1598" s="1" customFormat="1" ht="19.5" customHeight="1" x14ac:dyDescent="0.3"/>
    <row r="1599" s="1" customFormat="1" ht="19.5" customHeight="1" x14ac:dyDescent="0.3"/>
    <row r="1600" s="1" customFormat="1" ht="19.5" customHeight="1" x14ac:dyDescent="0.3"/>
    <row r="1601" s="1" customFormat="1" ht="19.5" customHeight="1" x14ac:dyDescent="0.3"/>
    <row r="1602" s="1" customFormat="1" ht="19.5" customHeight="1" x14ac:dyDescent="0.3"/>
    <row r="1603" s="1" customFormat="1" ht="19.5" customHeight="1" x14ac:dyDescent="0.3"/>
    <row r="1604" s="1" customFormat="1" ht="19.5" customHeight="1" x14ac:dyDescent="0.3"/>
    <row r="1605" s="1" customFormat="1" ht="19.5" customHeight="1" x14ac:dyDescent="0.3"/>
    <row r="1606" s="1" customFormat="1" ht="19.5" customHeight="1" x14ac:dyDescent="0.3"/>
    <row r="1607" s="1" customFormat="1" ht="19.5" customHeight="1" x14ac:dyDescent="0.3"/>
    <row r="1608" s="1" customFormat="1" ht="19.5" customHeight="1" x14ac:dyDescent="0.3"/>
    <row r="1609" s="1" customFormat="1" ht="19.5" customHeight="1" x14ac:dyDescent="0.3"/>
    <row r="1610" s="1" customFormat="1" ht="19.5" customHeight="1" x14ac:dyDescent="0.3"/>
    <row r="1611" s="1" customFormat="1" ht="19.5" customHeight="1" x14ac:dyDescent="0.3"/>
    <row r="1612" s="1" customFormat="1" ht="19.5" customHeight="1" x14ac:dyDescent="0.3"/>
    <row r="1613" s="1" customFormat="1" ht="19.5" customHeight="1" x14ac:dyDescent="0.3"/>
    <row r="1614" s="1" customFormat="1" ht="19.5" customHeight="1" x14ac:dyDescent="0.3"/>
    <row r="1615" s="1" customFormat="1" ht="19.5" customHeight="1" x14ac:dyDescent="0.3"/>
    <row r="1616" s="1" customFormat="1" ht="19.5" customHeight="1" x14ac:dyDescent="0.3"/>
    <row r="1617" s="1" customFormat="1" ht="19.5" customHeight="1" x14ac:dyDescent="0.3"/>
    <row r="1618" s="1" customFormat="1" ht="19.5" customHeight="1" x14ac:dyDescent="0.3"/>
    <row r="1619" s="1" customFormat="1" ht="19.5" customHeight="1" x14ac:dyDescent="0.3"/>
    <row r="1620" s="1" customFormat="1" ht="19.5" customHeight="1" x14ac:dyDescent="0.3"/>
    <row r="1621" s="1" customFormat="1" ht="19.5" customHeight="1" x14ac:dyDescent="0.3"/>
    <row r="1622" s="1" customFormat="1" ht="19.5" customHeight="1" x14ac:dyDescent="0.3"/>
    <row r="1623" s="1" customFormat="1" ht="19.5" customHeight="1" x14ac:dyDescent="0.3"/>
    <row r="1624" s="1" customFormat="1" ht="19.5" customHeight="1" x14ac:dyDescent="0.3"/>
    <row r="1625" s="1" customFormat="1" ht="19.5" customHeight="1" x14ac:dyDescent="0.3"/>
    <row r="1626" s="1" customFormat="1" ht="19.5" customHeight="1" x14ac:dyDescent="0.3"/>
    <row r="1627" s="1" customFormat="1" ht="19.5" customHeight="1" x14ac:dyDescent="0.3"/>
    <row r="1628" s="1" customFormat="1" ht="19.5" customHeight="1" x14ac:dyDescent="0.3"/>
    <row r="1629" s="1" customFormat="1" ht="19.5" customHeight="1" x14ac:dyDescent="0.3"/>
    <row r="1630" s="1" customFormat="1" ht="19.5" customHeight="1" x14ac:dyDescent="0.3"/>
    <row r="1631" s="1" customFormat="1" ht="19.5" customHeight="1" x14ac:dyDescent="0.3"/>
    <row r="1632" s="1" customFormat="1" ht="19.5" customHeight="1" x14ac:dyDescent="0.3"/>
    <row r="1633" s="1" customFormat="1" ht="19.5" customHeight="1" x14ac:dyDescent="0.3"/>
    <row r="1634" s="1" customFormat="1" ht="19.5" customHeight="1" x14ac:dyDescent="0.3"/>
    <row r="1635" s="1" customFormat="1" ht="19.5" customHeight="1" x14ac:dyDescent="0.3"/>
    <row r="1636" s="1" customFormat="1" ht="19.5" customHeight="1" x14ac:dyDescent="0.3"/>
    <row r="1637" s="1" customFormat="1" ht="19.5" customHeight="1" x14ac:dyDescent="0.3"/>
    <row r="1638" s="1" customFormat="1" ht="19.5" customHeight="1" x14ac:dyDescent="0.3"/>
    <row r="1639" s="1" customFormat="1" ht="19.5" customHeight="1" x14ac:dyDescent="0.3"/>
    <row r="1640" s="1" customFormat="1" ht="19.5" customHeight="1" x14ac:dyDescent="0.3"/>
    <row r="1641" s="1" customFormat="1" ht="19.5" customHeight="1" x14ac:dyDescent="0.3"/>
    <row r="1642" s="1" customFormat="1" ht="19.5" customHeight="1" x14ac:dyDescent="0.3"/>
    <row r="1643" s="1" customFormat="1" ht="19.5" customHeight="1" x14ac:dyDescent="0.3"/>
    <row r="1644" s="1" customFormat="1" ht="19.5" customHeight="1" x14ac:dyDescent="0.3"/>
    <row r="1645" s="1" customFormat="1" ht="19.5" customHeight="1" x14ac:dyDescent="0.3"/>
    <row r="1646" s="1" customFormat="1" ht="19.5" customHeight="1" x14ac:dyDescent="0.3"/>
    <row r="1647" s="1" customFormat="1" ht="19.5" customHeight="1" x14ac:dyDescent="0.3"/>
    <row r="1648" s="1" customFormat="1" ht="19.5" customHeight="1" x14ac:dyDescent="0.3"/>
    <row r="1649" s="1" customFormat="1" ht="19.5" customHeight="1" x14ac:dyDescent="0.3"/>
    <row r="1650" s="1" customFormat="1" ht="19.5" customHeight="1" x14ac:dyDescent="0.3"/>
    <row r="1651" s="1" customFormat="1" ht="19.5" customHeight="1" x14ac:dyDescent="0.3"/>
    <row r="1652" s="1" customFormat="1" ht="19.5" customHeight="1" x14ac:dyDescent="0.3"/>
    <row r="1653" s="1" customFormat="1" ht="19.5" customHeight="1" x14ac:dyDescent="0.3"/>
    <row r="1654" s="1" customFormat="1" ht="19.5" customHeight="1" x14ac:dyDescent="0.3"/>
    <row r="1655" s="1" customFormat="1" ht="19.5" customHeight="1" x14ac:dyDescent="0.3"/>
    <row r="1656" s="1" customFormat="1" ht="19.5" customHeight="1" x14ac:dyDescent="0.3"/>
    <row r="1657" s="1" customFormat="1" ht="19.5" customHeight="1" x14ac:dyDescent="0.3"/>
    <row r="1658" s="1" customFormat="1" ht="19.5" customHeight="1" x14ac:dyDescent="0.3"/>
    <row r="1659" s="1" customFormat="1" ht="19.5" customHeight="1" x14ac:dyDescent="0.3"/>
    <row r="1660" s="1" customFormat="1" ht="19.5" customHeight="1" x14ac:dyDescent="0.3"/>
    <row r="1661" s="1" customFormat="1" ht="19.5" customHeight="1" x14ac:dyDescent="0.3"/>
    <row r="1662" s="1" customFormat="1" ht="19.5" customHeight="1" x14ac:dyDescent="0.3"/>
    <row r="1663" s="1" customFormat="1" ht="19.5" customHeight="1" x14ac:dyDescent="0.3"/>
    <row r="1664" s="1" customFormat="1" ht="19.5" customHeight="1" x14ac:dyDescent="0.3"/>
    <row r="1665" s="1" customFormat="1" ht="19.5" customHeight="1" x14ac:dyDescent="0.3"/>
    <row r="1666" s="1" customFormat="1" ht="19.5" customHeight="1" x14ac:dyDescent="0.3"/>
    <row r="1667" s="1" customFormat="1" ht="19.5" customHeight="1" x14ac:dyDescent="0.3"/>
    <row r="1668" s="1" customFormat="1" ht="19.5" customHeight="1" x14ac:dyDescent="0.3"/>
    <row r="1669" s="1" customFormat="1" ht="19.5" customHeight="1" x14ac:dyDescent="0.3"/>
    <row r="1670" s="1" customFormat="1" ht="19.5" customHeight="1" x14ac:dyDescent="0.3"/>
    <row r="1671" s="1" customFormat="1" ht="19.5" customHeight="1" x14ac:dyDescent="0.3"/>
    <row r="1672" s="1" customFormat="1" ht="19.5" customHeight="1" x14ac:dyDescent="0.3"/>
    <row r="1673" s="1" customFormat="1" ht="19.5" customHeight="1" x14ac:dyDescent="0.3"/>
    <row r="1674" s="1" customFormat="1" ht="19.5" customHeight="1" x14ac:dyDescent="0.3"/>
    <row r="1675" s="1" customFormat="1" ht="19.5" customHeight="1" x14ac:dyDescent="0.3"/>
    <row r="1676" s="1" customFormat="1" ht="19.5" customHeight="1" x14ac:dyDescent="0.3"/>
    <row r="1677" s="1" customFormat="1" ht="19.5" customHeight="1" x14ac:dyDescent="0.3"/>
    <row r="1678" s="1" customFormat="1" ht="19.5" customHeight="1" x14ac:dyDescent="0.3"/>
    <row r="1679" s="1" customFormat="1" ht="19.5" customHeight="1" x14ac:dyDescent="0.3"/>
    <row r="1680" s="1" customFormat="1" ht="19.5" customHeight="1" x14ac:dyDescent="0.3"/>
    <row r="1681" s="1" customFormat="1" ht="19.5" customHeight="1" x14ac:dyDescent="0.3"/>
    <row r="1682" s="1" customFormat="1" ht="19.5" customHeight="1" x14ac:dyDescent="0.3"/>
    <row r="1683" s="1" customFormat="1" ht="19.5" customHeight="1" x14ac:dyDescent="0.3"/>
    <row r="1684" s="1" customFormat="1" ht="19.5" customHeight="1" x14ac:dyDescent="0.3"/>
    <row r="1685" s="1" customFormat="1" ht="19.5" customHeight="1" x14ac:dyDescent="0.3"/>
    <row r="1686" s="1" customFormat="1" ht="19.5" customHeight="1" x14ac:dyDescent="0.3"/>
    <row r="1687" s="1" customFormat="1" ht="19.5" customHeight="1" x14ac:dyDescent="0.3"/>
    <row r="1688" s="1" customFormat="1" ht="19.5" customHeight="1" x14ac:dyDescent="0.3"/>
    <row r="1689" s="1" customFormat="1" ht="19.5" customHeight="1" x14ac:dyDescent="0.3"/>
    <row r="1690" s="1" customFormat="1" ht="19.5" customHeight="1" x14ac:dyDescent="0.3"/>
    <row r="1691" s="1" customFormat="1" ht="19.5" customHeight="1" x14ac:dyDescent="0.3"/>
    <row r="1692" s="1" customFormat="1" ht="19.5" customHeight="1" x14ac:dyDescent="0.3"/>
    <row r="1693" s="1" customFormat="1" ht="19.5" customHeight="1" x14ac:dyDescent="0.3"/>
    <row r="1694" s="1" customFormat="1" ht="19.5" customHeight="1" x14ac:dyDescent="0.3"/>
    <row r="1695" s="1" customFormat="1" ht="19.5" customHeight="1" x14ac:dyDescent="0.3"/>
    <row r="1696" s="1" customFormat="1" ht="19.5" customHeight="1" x14ac:dyDescent="0.3"/>
    <row r="1697" s="1" customFormat="1" ht="19.5" customHeight="1" x14ac:dyDescent="0.3"/>
    <row r="1698" s="1" customFormat="1" ht="19.5" customHeight="1" x14ac:dyDescent="0.3"/>
    <row r="1699" s="1" customFormat="1" ht="19.5" customHeight="1" x14ac:dyDescent="0.3"/>
    <row r="1700" s="1" customFormat="1" ht="19.5" customHeight="1" x14ac:dyDescent="0.3"/>
    <row r="1701" s="1" customFormat="1" ht="19.5" customHeight="1" x14ac:dyDescent="0.3"/>
    <row r="1702" s="1" customFormat="1" ht="19.5" customHeight="1" x14ac:dyDescent="0.3"/>
    <row r="1703" s="1" customFormat="1" ht="19.5" customHeight="1" x14ac:dyDescent="0.3"/>
    <row r="1704" s="1" customFormat="1" ht="19.5" customHeight="1" x14ac:dyDescent="0.3"/>
    <row r="1705" s="1" customFormat="1" ht="19.5" customHeight="1" x14ac:dyDescent="0.3"/>
    <row r="1706" s="1" customFormat="1" ht="19.5" customHeight="1" x14ac:dyDescent="0.3"/>
    <row r="1707" s="1" customFormat="1" ht="19.5" customHeight="1" x14ac:dyDescent="0.3"/>
    <row r="1708" s="1" customFormat="1" ht="19.5" customHeight="1" x14ac:dyDescent="0.3"/>
    <row r="1709" s="1" customFormat="1" ht="19.5" customHeight="1" x14ac:dyDescent="0.3"/>
    <row r="1710" s="1" customFormat="1" ht="19.5" customHeight="1" x14ac:dyDescent="0.3"/>
    <row r="1711" s="1" customFormat="1" ht="19.5" customHeight="1" x14ac:dyDescent="0.3"/>
    <row r="1712" s="1" customFormat="1" ht="19.5" customHeight="1" x14ac:dyDescent="0.3"/>
    <row r="1713" s="1" customFormat="1" ht="19.5" customHeight="1" x14ac:dyDescent="0.3"/>
    <row r="1714" s="1" customFormat="1" ht="19.5" customHeight="1" x14ac:dyDescent="0.3"/>
    <row r="1715" s="1" customFormat="1" ht="19.5" customHeight="1" x14ac:dyDescent="0.3"/>
    <row r="1716" s="1" customFormat="1" ht="19.5" customHeight="1" x14ac:dyDescent="0.3"/>
    <row r="1717" s="1" customFormat="1" ht="19.5" customHeight="1" x14ac:dyDescent="0.3"/>
    <row r="1718" s="1" customFormat="1" ht="19.5" customHeight="1" x14ac:dyDescent="0.3"/>
    <row r="1719" s="1" customFormat="1" ht="19.5" customHeight="1" x14ac:dyDescent="0.3"/>
    <row r="1720" s="1" customFormat="1" ht="19.5" customHeight="1" x14ac:dyDescent="0.3"/>
    <row r="1721" s="1" customFormat="1" ht="19.5" customHeight="1" x14ac:dyDescent="0.3"/>
    <row r="1722" s="1" customFormat="1" ht="19.5" customHeight="1" x14ac:dyDescent="0.3"/>
    <row r="1723" s="1" customFormat="1" ht="19.5" customHeight="1" x14ac:dyDescent="0.3"/>
    <row r="1724" s="1" customFormat="1" ht="19.5" customHeight="1" x14ac:dyDescent="0.3"/>
    <row r="1725" s="1" customFormat="1" ht="19.5" customHeight="1" x14ac:dyDescent="0.3"/>
    <row r="1726" s="1" customFormat="1" ht="19.5" customHeight="1" x14ac:dyDescent="0.3"/>
    <row r="1727" s="1" customFormat="1" ht="19.5" customHeight="1" x14ac:dyDescent="0.3"/>
    <row r="1728" s="1" customFormat="1" ht="19.5" customHeight="1" x14ac:dyDescent="0.3"/>
    <row r="1729" s="1" customFormat="1" ht="19.5" customHeight="1" x14ac:dyDescent="0.3"/>
    <row r="1730" s="1" customFormat="1" ht="19.5" customHeight="1" x14ac:dyDescent="0.3"/>
    <row r="1731" s="1" customFormat="1" ht="19.5" customHeight="1" x14ac:dyDescent="0.3"/>
    <row r="1732" s="1" customFormat="1" ht="19.5" customHeight="1" x14ac:dyDescent="0.3"/>
    <row r="1733" s="1" customFormat="1" ht="19.5" customHeight="1" x14ac:dyDescent="0.3"/>
    <row r="1734" s="1" customFormat="1" ht="19.5" customHeight="1" x14ac:dyDescent="0.3"/>
    <row r="1735" s="1" customFormat="1" ht="19.5" customHeight="1" x14ac:dyDescent="0.3"/>
    <row r="1736" s="1" customFormat="1" ht="19.5" customHeight="1" x14ac:dyDescent="0.3"/>
    <row r="1737" s="1" customFormat="1" ht="19.5" customHeight="1" x14ac:dyDescent="0.3"/>
    <row r="1738" s="1" customFormat="1" ht="19.5" customHeight="1" x14ac:dyDescent="0.3"/>
    <row r="1739" s="1" customFormat="1" ht="19.5" customHeight="1" x14ac:dyDescent="0.3"/>
    <row r="1740" s="1" customFormat="1" ht="19.5" customHeight="1" x14ac:dyDescent="0.3"/>
    <row r="1741" s="1" customFormat="1" ht="19.5" customHeight="1" x14ac:dyDescent="0.3"/>
    <row r="1742" s="1" customFormat="1" ht="19.5" customHeight="1" x14ac:dyDescent="0.3"/>
    <row r="1743" s="1" customFormat="1" ht="19.5" customHeight="1" x14ac:dyDescent="0.3"/>
    <row r="1744" s="1" customFormat="1" ht="19.5" customHeight="1" x14ac:dyDescent="0.3"/>
    <row r="1745" s="1" customFormat="1" ht="19.5" customHeight="1" x14ac:dyDescent="0.3"/>
    <row r="1746" s="1" customFormat="1" ht="19.5" customHeight="1" x14ac:dyDescent="0.3"/>
    <row r="1747" s="1" customFormat="1" ht="19.5" customHeight="1" x14ac:dyDescent="0.3"/>
    <row r="1748" s="1" customFormat="1" ht="19.5" customHeight="1" x14ac:dyDescent="0.3"/>
    <row r="1749" s="1" customFormat="1" ht="19.5" customHeight="1" x14ac:dyDescent="0.3"/>
    <row r="1750" s="1" customFormat="1" ht="19.5" customHeight="1" x14ac:dyDescent="0.3"/>
    <row r="1751" s="1" customFormat="1" ht="19.5" customHeight="1" x14ac:dyDescent="0.3"/>
    <row r="1752" s="1" customFormat="1" ht="19.5" customHeight="1" x14ac:dyDescent="0.3"/>
    <row r="1753" s="1" customFormat="1" ht="19.5" customHeight="1" x14ac:dyDescent="0.3"/>
    <row r="1754" s="1" customFormat="1" ht="19.5" customHeight="1" x14ac:dyDescent="0.3"/>
    <row r="1755" s="1" customFormat="1" ht="19.5" customHeight="1" x14ac:dyDescent="0.3"/>
    <row r="1756" s="1" customFormat="1" ht="19.5" customHeight="1" x14ac:dyDescent="0.3"/>
    <row r="1757" s="1" customFormat="1" ht="19.5" customHeight="1" x14ac:dyDescent="0.3"/>
    <row r="1758" s="1" customFormat="1" ht="19.5" customHeight="1" x14ac:dyDescent="0.3"/>
    <row r="1759" s="1" customFormat="1" ht="19.5" customHeight="1" x14ac:dyDescent="0.3"/>
    <row r="1760" s="1" customFormat="1" ht="19.5" customHeight="1" x14ac:dyDescent="0.3"/>
    <row r="1761" s="1" customFormat="1" ht="19.5" customHeight="1" x14ac:dyDescent="0.3"/>
    <row r="1762" s="1" customFormat="1" ht="19.5" customHeight="1" x14ac:dyDescent="0.3"/>
    <row r="1763" s="1" customFormat="1" ht="19.5" customHeight="1" x14ac:dyDescent="0.3"/>
    <row r="1764" s="1" customFormat="1" ht="19.5" customHeight="1" x14ac:dyDescent="0.3"/>
    <row r="1765" s="1" customFormat="1" ht="19.5" customHeight="1" x14ac:dyDescent="0.3"/>
    <row r="1766" s="1" customFormat="1" ht="19.5" customHeight="1" x14ac:dyDescent="0.3"/>
    <row r="1767" s="1" customFormat="1" ht="19.5" customHeight="1" x14ac:dyDescent="0.3"/>
    <row r="1768" s="1" customFormat="1" ht="19.5" customHeight="1" x14ac:dyDescent="0.3"/>
    <row r="1769" s="1" customFormat="1" ht="19.5" customHeight="1" x14ac:dyDescent="0.3"/>
    <row r="1770" s="1" customFormat="1" ht="19.5" customHeight="1" x14ac:dyDescent="0.3"/>
    <row r="1771" s="1" customFormat="1" ht="19.5" customHeight="1" x14ac:dyDescent="0.3"/>
    <row r="1772" s="1" customFormat="1" ht="19.5" customHeight="1" x14ac:dyDescent="0.3"/>
    <row r="1773" s="1" customFormat="1" ht="19.5" customHeight="1" x14ac:dyDescent="0.3"/>
    <row r="1774" s="1" customFormat="1" ht="19.5" customHeight="1" x14ac:dyDescent="0.3"/>
    <row r="1775" s="1" customFormat="1" ht="19.5" customHeight="1" x14ac:dyDescent="0.3"/>
    <row r="1776" s="1" customFormat="1" ht="19.5" customHeight="1" x14ac:dyDescent="0.3"/>
    <row r="1777" s="1" customFormat="1" ht="19.5" customHeight="1" x14ac:dyDescent="0.3"/>
    <row r="1778" s="1" customFormat="1" ht="19.5" customHeight="1" x14ac:dyDescent="0.3"/>
    <row r="1779" s="1" customFormat="1" ht="19.5" customHeight="1" x14ac:dyDescent="0.3"/>
    <row r="1780" s="1" customFormat="1" ht="19.5" customHeight="1" x14ac:dyDescent="0.3"/>
    <row r="1781" s="1" customFormat="1" ht="19.5" customHeight="1" x14ac:dyDescent="0.3"/>
    <row r="1782" s="1" customFormat="1" ht="19.5" customHeight="1" x14ac:dyDescent="0.3"/>
    <row r="1783" s="1" customFormat="1" ht="19.5" customHeight="1" x14ac:dyDescent="0.3"/>
    <row r="1784" s="1" customFormat="1" ht="19.5" customHeight="1" x14ac:dyDescent="0.3"/>
    <row r="1785" s="1" customFormat="1" ht="19.5" customHeight="1" x14ac:dyDescent="0.3"/>
    <row r="1786" s="1" customFormat="1" ht="19.5" customHeight="1" x14ac:dyDescent="0.3"/>
    <row r="1787" s="1" customFormat="1" ht="19.5" customHeight="1" x14ac:dyDescent="0.3"/>
    <row r="1788" s="1" customFormat="1" ht="19.5" customHeight="1" x14ac:dyDescent="0.3"/>
    <row r="1789" s="1" customFormat="1" ht="19.5" customHeight="1" x14ac:dyDescent="0.3"/>
    <row r="1790" s="1" customFormat="1" ht="19.5" customHeight="1" x14ac:dyDescent="0.3"/>
    <row r="1791" s="1" customFormat="1" ht="19.5" customHeight="1" x14ac:dyDescent="0.3"/>
    <row r="1792" s="1" customFormat="1" ht="19.5" customHeight="1" x14ac:dyDescent="0.3"/>
    <row r="1793" s="1" customFormat="1" ht="19.5" customHeight="1" x14ac:dyDescent="0.3"/>
    <row r="1794" s="1" customFormat="1" ht="19.5" customHeight="1" x14ac:dyDescent="0.3"/>
    <row r="1795" s="1" customFormat="1" ht="19.5" customHeight="1" x14ac:dyDescent="0.3"/>
    <row r="1796" s="1" customFormat="1" ht="19.5" customHeight="1" x14ac:dyDescent="0.3"/>
    <row r="1797" s="1" customFormat="1" ht="19.5" customHeight="1" x14ac:dyDescent="0.3"/>
    <row r="1798" s="1" customFormat="1" ht="19.5" customHeight="1" x14ac:dyDescent="0.3"/>
    <row r="1799" s="1" customFormat="1" ht="19.5" customHeight="1" x14ac:dyDescent="0.3"/>
    <row r="1800" s="1" customFormat="1" ht="19.5" customHeight="1" x14ac:dyDescent="0.3"/>
    <row r="1801" s="1" customFormat="1" ht="19.5" customHeight="1" x14ac:dyDescent="0.3"/>
    <row r="1802" s="1" customFormat="1" ht="19.5" customHeight="1" x14ac:dyDescent="0.3"/>
    <row r="1803" s="1" customFormat="1" ht="19.5" customHeight="1" x14ac:dyDescent="0.3"/>
    <row r="1804" s="1" customFormat="1" ht="19.5" customHeight="1" x14ac:dyDescent="0.3"/>
    <row r="1805" s="1" customFormat="1" ht="19.5" customHeight="1" x14ac:dyDescent="0.3"/>
    <row r="1806" s="1" customFormat="1" ht="19.5" customHeight="1" x14ac:dyDescent="0.3"/>
    <row r="1807" s="1" customFormat="1" ht="19.5" customHeight="1" x14ac:dyDescent="0.3"/>
  </sheetData>
  <mergeCells count="4">
    <mergeCell ref="A1:J1"/>
    <mergeCell ref="A2:J2"/>
    <mergeCell ref="A3:K3"/>
    <mergeCell ref="A6:K6"/>
  </mergeCells>
  <dataValidations count="22">
    <dataValidation allowBlank="1" showInputMessage="1" showErrorMessage="1" prompt="Time_x000d__x000a__x000d__x000a_TBL_CUR[TIME]" sqref="A5" xr:uid="{20FD7124-F93E-46F0-A907-379366C901C7}"/>
    <dataValidation allowBlank="1" showInputMessage="1" showErrorMessage="1" prompt="TBL_CUR[CH1]" sqref="B5" xr:uid="{D8AF1EA1-2BDD-46F6-9D3C-BC3D66FEFFFB}"/>
    <dataValidation allowBlank="1" showInputMessage="1" showErrorMessage="1" prompt="TBL_CUR[CH2]" sqref="C5" xr:uid="{CB4031E7-C125-47AE-AB0A-752F3558136F}"/>
    <dataValidation allowBlank="1" showInputMessage="1" showErrorMessage="1" prompt="TBL_CUR[CH3]" sqref="D5" xr:uid="{A035A8B3-9001-422D-8B2B-80F2F0B10765}"/>
    <dataValidation allowBlank="1" showInputMessage="1" showErrorMessage="1" prompt="TBL_CUR[CH4]" sqref="E5" xr:uid="{27EE38E1-1E7D-4C9C-AB02-38038E4F500E}"/>
    <dataValidation allowBlank="1" showInputMessage="1" showErrorMessage="1" prompt="TBL_CUR[CH5]" sqref="F5" xr:uid="{C9AA91FB-86F7-4DD8-8B6B-853DBE2FCA29}"/>
    <dataValidation allowBlank="1" showInputMessage="1" showErrorMessage="1" prompt="TBL_CUR[CH6]" sqref="G5" xr:uid="{625D67AD-F558-45B9-B3E7-0A07F36610E1}"/>
    <dataValidation allowBlank="1" showInputMessage="1" showErrorMessage="1" prompt="TBL_CUR[CH7]" sqref="H5" xr:uid="{0DC1B41D-57A2-4BF1-A1A9-138A3CD64C2D}"/>
    <dataValidation allowBlank="1" showInputMessage="1" showErrorMessage="1" prompt="TBL_CUR[CH8]" sqref="I5" xr:uid="{747E7005-137A-4FD2-A682-CF5DA5B03BEC}"/>
    <dataValidation allowBlank="1" showInputMessage="1" showErrorMessage="1" prompt="TBL_CUR[CH9]" sqref="J5" xr:uid="{45741286-4350-4EF3-8932-20AD2296FB5D}"/>
    <dataValidation allowBlank="1" showInputMessage="1" showErrorMessage="1" prompt="TBL_CUR[CH10]" sqref="K5" xr:uid="{A7A046F5-0EE7-43C0-BC6C-B26D57CEAB26}"/>
    <dataValidation allowBlank="1" showInputMessage="1" showErrorMessage="1" prompt="Time_x000d__x000a__x000d__x000a_TBL_HST[TIME]" sqref="A8:A1007" xr:uid="{E221F876-F299-4F24-A925-170F3E3DDB79}"/>
    <dataValidation allowBlank="1" showInputMessage="1" showErrorMessage="1" prompt="TBL_HST[CH1]" sqref="B8:B1007" xr:uid="{2754EB3F-1F33-43E4-B553-B9A3C8FCDB2A}"/>
    <dataValidation allowBlank="1" showInputMessage="1" showErrorMessage="1" prompt="TBL_HST[CH2]" sqref="C8:C1007" xr:uid="{CD37D1AE-C9B4-418F-9CF1-FDE3F50F630B}"/>
    <dataValidation allowBlank="1" showInputMessage="1" showErrorMessage="1" prompt="TBL_HST[CH3]" sqref="D8:D1007" xr:uid="{066B0D9C-9A98-41DD-B7D1-CA8F93731055}"/>
    <dataValidation allowBlank="1" showInputMessage="1" showErrorMessage="1" prompt="TBL_HST[CH4]" sqref="E8:E1007" xr:uid="{97DE5B66-2730-48C3-817A-D37E6FDB6B79}"/>
    <dataValidation allowBlank="1" showInputMessage="1" showErrorMessage="1" prompt="TBL_HST[CH5]" sqref="F8:F1007" xr:uid="{FFE33222-B402-4772-928E-933A72E87262}"/>
    <dataValidation allowBlank="1" showInputMessage="1" showErrorMessage="1" prompt="TBL_HST[CH6]" sqref="G8:G1007" xr:uid="{E2A6B551-01F7-4899-B377-9105BCD8F468}"/>
    <dataValidation allowBlank="1" showInputMessage="1" showErrorMessage="1" prompt="TBL_HST[CH7]" sqref="H8:H1007" xr:uid="{DFF394AF-BD4D-4C94-9AC9-6ED1B980A90F}"/>
    <dataValidation allowBlank="1" showInputMessage="1" showErrorMessage="1" prompt="TBL_HST[CH8]" sqref="I8:I1007" xr:uid="{DBF5097D-8760-4AD0-B796-C86373594632}"/>
    <dataValidation allowBlank="1" showInputMessage="1" showErrorMessage="1" prompt="TBL_HST[CH9]" sqref="J8:J1007" xr:uid="{345DC589-431E-4CEF-9D43-DF77245AE88A}"/>
    <dataValidation allowBlank="1" showInputMessage="1" showErrorMessage="1" prompt="TBL_HST[CH10]" sqref="K8:K1007" xr:uid="{58B8ED79-8C7A-47D1-A784-080EC39F4439}"/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EB1E3-D912-46A3-BC29-D0F7AD9B940A}">
  <dimension ref="A1:J5"/>
  <sheetViews>
    <sheetView workbookViewId="0">
      <selection sqref="A1:H1"/>
    </sheetView>
  </sheetViews>
  <sheetFormatPr defaultRowHeight="14.4" x14ac:dyDescent="0.3"/>
  <cols>
    <col min="1" max="10" width="11.5546875" customWidth="1"/>
  </cols>
  <sheetData>
    <row r="1" spans="1:10" ht="29.4" x14ac:dyDescent="0.65">
      <c r="A1" s="40" t="s">
        <v>30</v>
      </c>
      <c r="B1" s="40"/>
      <c r="C1" s="40"/>
      <c r="D1" s="40"/>
      <c r="E1" s="40"/>
      <c r="F1" s="40"/>
      <c r="G1" s="40"/>
      <c r="H1" s="40"/>
    </row>
    <row r="2" spans="1:10" ht="16.8" x14ac:dyDescent="0.3">
      <c r="A2" s="41" t="s">
        <v>31</v>
      </c>
      <c r="B2" s="41"/>
      <c r="C2" s="41"/>
      <c r="D2" s="41"/>
      <c r="E2" s="41"/>
      <c r="F2" s="41"/>
      <c r="G2" s="41"/>
      <c r="H2" s="41"/>
    </row>
    <row r="3" spans="1:10" ht="17.55" customHeight="1" x14ac:dyDescent="0.3"/>
    <row r="4" spans="1:10" ht="19.5" customHeight="1" x14ac:dyDescent="0.3">
      <c r="A4" s="31" t="s">
        <v>11</v>
      </c>
      <c r="B4" s="32" t="s">
        <v>13</v>
      </c>
      <c r="C4" s="32" t="s">
        <v>14</v>
      </c>
      <c r="D4" s="32" t="s">
        <v>15</v>
      </c>
      <c r="E4" s="32" t="s">
        <v>16</v>
      </c>
      <c r="F4" s="32" t="s">
        <v>17</v>
      </c>
      <c r="G4" s="32" t="s">
        <v>18</v>
      </c>
      <c r="H4" s="32" t="s">
        <v>19</v>
      </c>
      <c r="I4" s="32" t="s">
        <v>20</v>
      </c>
      <c r="J4" s="32" t="s">
        <v>21</v>
      </c>
    </row>
    <row r="5" spans="1:10" ht="27" customHeight="1" x14ac:dyDescent="0.3">
      <c r="A5" s="15"/>
      <c r="B5" s="15"/>
      <c r="C5" s="15"/>
      <c r="D5" s="15"/>
      <c r="E5" s="15"/>
      <c r="F5" s="15"/>
      <c r="G5" s="15"/>
      <c r="H5" s="15"/>
      <c r="I5" s="15"/>
      <c r="J5" s="15"/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66A10-830A-41CA-8FD1-838C258C8420}">
  <dimension ref="A1:E13"/>
  <sheetViews>
    <sheetView zoomScale="74" workbookViewId="0">
      <selection activeCell="C7" sqref="C7"/>
    </sheetView>
  </sheetViews>
  <sheetFormatPr defaultColWidth="8.88671875" defaultRowHeight="14.4" x14ac:dyDescent="0.3"/>
  <cols>
    <col min="1" max="1" width="30.77734375" style="12" customWidth="1"/>
    <col min="2" max="2" width="0.21875" style="12" customWidth="1"/>
    <col min="3" max="3" width="30.77734375" style="12" customWidth="1"/>
    <col min="4" max="16384" width="8.88671875" style="12"/>
  </cols>
  <sheetData>
    <row r="1" spans="1:5" ht="29.4" x14ac:dyDescent="0.65">
      <c r="A1" s="42" t="s">
        <v>22</v>
      </c>
      <c r="B1" s="42"/>
      <c r="C1" s="42"/>
      <c r="D1" s="42"/>
      <c r="E1" s="42"/>
    </row>
    <row r="2" spans="1:5" ht="49.95" customHeight="1" x14ac:dyDescent="0.3">
      <c r="A2" s="43" t="s">
        <v>23</v>
      </c>
      <c r="B2" s="43"/>
      <c r="C2" s="43"/>
      <c r="D2" s="43"/>
      <c r="E2" s="43"/>
    </row>
    <row r="3" spans="1:5" ht="4.5" customHeight="1" x14ac:dyDescent="0.3"/>
    <row r="4" spans="1:5" ht="24" customHeight="1" x14ac:dyDescent="0.3">
      <c r="A4" s="30" t="s">
        <v>24</v>
      </c>
      <c r="B4" s="13">
        <v>150</v>
      </c>
      <c r="C4" s="14">
        <v>100</v>
      </c>
    </row>
    <row r="5" spans="1:5" ht="4.5" customHeight="1" x14ac:dyDescent="0.3"/>
    <row r="6" spans="1:5" ht="24" customHeight="1" x14ac:dyDescent="0.3">
      <c r="A6" s="30" t="s">
        <v>25</v>
      </c>
      <c r="B6" s="13">
        <v>15</v>
      </c>
      <c r="C6" s="14">
        <v>1000</v>
      </c>
    </row>
    <row r="7" spans="1:5" ht="4.5" customHeight="1" x14ac:dyDescent="0.3"/>
    <row r="8" spans="1:5" ht="24" customHeight="1" x14ac:dyDescent="0.3">
      <c r="A8" s="30" t="s">
        <v>26</v>
      </c>
      <c r="B8" s="13">
        <v>10</v>
      </c>
      <c r="C8" s="14">
        <v>10</v>
      </c>
    </row>
    <row r="9" spans="1:5" ht="4.5" customHeight="1" x14ac:dyDescent="0.3"/>
    <row r="10" spans="1:5" ht="24" customHeight="1" x14ac:dyDescent="0.3">
      <c r="A10" s="30" t="s">
        <v>27</v>
      </c>
      <c r="B10" s="13" t="s">
        <v>28</v>
      </c>
      <c r="C10" s="14" t="s">
        <v>28</v>
      </c>
    </row>
    <row r="13" spans="1:5" ht="49.95" customHeight="1" x14ac:dyDescent="0.3">
      <c r="A13" s="44" t="s">
        <v>29</v>
      </c>
      <c r="B13" s="44"/>
      <c r="C13" s="44"/>
      <c r="D13" s="44"/>
      <c r="E13" s="44"/>
    </row>
  </sheetData>
  <mergeCells count="3">
    <mergeCell ref="A1:E1"/>
    <mergeCell ref="A2:E2"/>
    <mergeCell ref="A13:E13"/>
  </mergeCells>
  <dataValidations count="4">
    <dataValidation type="whole" allowBlank="1" showInputMessage="1" showErrorMessage="1" error="Value must be from 10 to 1000" prompt="Minimum duration between data readings, in milliseconds. 10 to 1000" sqref="C4" xr:uid="{D578CA11-C835-412C-B0F2-7C7DF76AB102}">
      <formula1>10</formula1>
      <formula2>1000</formula2>
    </dataValidation>
    <dataValidation type="whole" allowBlank="1" showInputMessage="1" showErrorMessage="1" error="Value must be from 1 to 1000000" prompt="Number of historical data rows to keep. 1 to 1000000" sqref="C6" xr:uid="{6176D534-9199-4CFE-8C30-AE49051CA89B}">
      <formula1>1</formula1>
      <formula2>1000000</formula2>
    </dataValidation>
    <dataValidation type="whole" allowBlank="1" showInputMessage="1" showErrorMessage="1" error="Value must be from 1 to 1000" prompt="Number of data columns to read. 1 to 1000" sqref="C8" xr:uid="{E326335B-D364-48CB-AF1A-34EE0E85880D}">
      <formula1>1</formula1>
      <formula2>1000</formula2>
    </dataValidation>
    <dataValidation type="list" errorStyle="information" allowBlank="1" showInputMessage="1" sqref="C10" xr:uid="{4CC4F65A-6351-4174-BBBE-43F2459ECE13}">
      <mc:AlternateContent xmlns:x12ac="http://schemas.microsoft.com/office/spreadsheetml/2011/1/ac" xmlns:mc="http://schemas.openxmlformats.org/markup-compatibility/2006">
        <mc:Choice Requires="x12ac">
          <x12ac:list>"Newest first,Newest last"</x12ac:list>
        </mc:Choice>
        <mc:Fallback>
          <formula1>"Newest first,Newest last"</formula1>
        </mc:Fallback>
      </mc:AlternateContent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2CD33-4FFB-426E-B911-262B08592EAB}">
  <dimension ref="A1:L16"/>
  <sheetViews>
    <sheetView workbookViewId="0">
      <selection sqref="A1:G1"/>
    </sheetView>
  </sheetViews>
  <sheetFormatPr defaultColWidth="8.88671875" defaultRowHeight="14.4" x14ac:dyDescent="0.3"/>
  <cols>
    <col min="1" max="2" width="3.77734375" style="2" customWidth="1"/>
    <col min="3" max="3" width="14.77734375" style="2" customWidth="1"/>
    <col min="4" max="4" width="18.77734375" style="2" customWidth="1"/>
    <col min="5" max="5" width="60.77734375" style="2" customWidth="1"/>
    <col min="6" max="6" width="16.77734375" style="2" customWidth="1"/>
    <col min="7" max="7" width="12.77734375" style="2" customWidth="1"/>
    <col min="8" max="8" width="8.88671875" style="2"/>
    <col min="9" max="9" width="16.77734375" style="2" customWidth="1"/>
    <col min="10" max="10" width="60.77734375" style="2" customWidth="1"/>
    <col min="11" max="16384" width="8.88671875" style="2"/>
  </cols>
  <sheetData>
    <row r="1" spans="1:12" ht="29.4" x14ac:dyDescent="0.65">
      <c r="A1" s="47" t="s">
        <v>4</v>
      </c>
      <c r="B1" s="47"/>
      <c r="C1" s="47"/>
      <c r="D1" s="47"/>
      <c r="E1" s="47"/>
      <c r="F1" s="47"/>
      <c r="G1" s="47"/>
      <c r="L1" s="27" t="s">
        <v>56</v>
      </c>
    </row>
    <row r="2" spans="1:12" ht="48" customHeight="1" x14ac:dyDescent="0.3">
      <c r="A2" s="48" t="s">
        <v>5</v>
      </c>
      <c r="B2" s="48"/>
      <c r="C2" s="48"/>
      <c r="D2" s="48"/>
      <c r="E2" s="48"/>
      <c r="F2" s="48"/>
      <c r="G2" s="48"/>
    </row>
    <row r="3" spans="1:12" ht="25.95" customHeight="1" x14ac:dyDescent="0.55000000000000004">
      <c r="B3" s="51" t="s">
        <v>0</v>
      </c>
      <c r="C3" s="51"/>
      <c r="D3" s="51"/>
      <c r="E3" s="51"/>
      <c r="F3" s="51"/>
      <c r="G3" s="51"/>
      <c r="H3" s="51"/>
    </row>
    <row r="4" spans="1:12" ht="25.95" customHeight="1" x14ac:dyDescent="0.4">
      <c r="B4" s="49"/>
      <c r="C4" s="49"/>
      <c r="D4" s="49"/>
      <c r="E4" s="49"/>
      <c r="F4" s="49"/>
      <c r="G4" s="49"/>
      <c r="I4" s="45" t="s">
        <v>1</v>
      </c>
      <c r="J4" s="45"/>
    </row>
    <row r="5" spans="1:12" ht="24" customHeight="1" x14ac:dyDescent="0.3">
      <c r="B5" s="49"/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I5" s="46" t="s">
        <v>55</v>
      </c>
      <c r="J5" s="46"/>
      <c r="K5" s="27">
        <v>1</v>
      </c>
    </row>
    <row r="6" spans="1:12" ht="24" customHeight="1" x14ac:dyDescent="0.4">
      <c r="B6" s="49"/>
      <c r="C6" s="29" t="s">
        <v>11</v>
      </c>
      <c r="D6" s="5" t="s">
        <v>11</v>
      </c>
      <c r="E6" s="5"/>
      <c r="F6" s="5"/>
      <c r="G6" s="4" t="s">
        <v>12</v>
      </c>
      <c r="I6" s="45" t="s">
        <v>2</v>
      </c>
      <c r="J6" s="45"/>
    </row>
    <row r="7" spans="1:12" ht="24" customHeight="1" x14ac:dyDescent="0.3">
      <c r="B7" s="49"/>
      <c r="C7" s="7" t="s">
        <v>13</v>
      </c>
      <c r="D7" s="8" t="s">
        <v>13</v>
      </c>
      <c r="E7" s="8"/>
      <c r="F7" s="8"/>
      <c r="G7" s="6" t="s">
        <v>12</v>
      </c>
      <c r="I7" s="28">
        <v>100</v>
      </c>
    </row>
    <row r="8" spans="1:12" ht="24" customHeight="1" x14ac:dyDescent="0.4">
      <c r="B8" s="49"/>
      <c r="C8" s="7" t="s">
        <v>14</v>
      </c>
      <c r="D8" s="8" t="s">
        <v>14</v>
      </c>
      <c r="E8" s="8"/>
      <c r="F8" s="8"/>
      <c r="G8" s="6" t="s">
        <v>12</v>
      </c>
      <c r="I8" s="45" t="s">
        <v>3</v>
      </c>
      <c r="J8" s="45"/>
    </row>
    <row r="9" spans="1:12" ht="24" customHeight="1" x14ac:dyDescent="0.3">
      <c r="B9" s="49"/>
      <c r="C9" s="7" t="s">
        <v>15</v>
      </c>
      <c r="D9" s="8" t="s">
        <v>15</v>
      </c>
      <c r="E9" s="8"/>
      <c r="F9" s="8"/>
      <c r="G9" s="6" t="s">
        <v>12</v>
      </c>
      <c r="I9" s="28">
        <v>115200</v>
      </c>
    </row>
    <row r="10" spans="1:12" ht="24" customHeight="1" x14ac:dyDescent="0.3">
      <c r="B10" s="49"/>
      <c r="C10" s="7" t="s">
        <v>16</v>
      </c>
      <c r="D10" s="8" t="s">
        <v>16</v>
      </c>
      <c r="E10" s="8"/>
      <c r="F10" s="8"/>
      <c r="G10" s="6" t="s">
        <v>12</v>
      </c>
    </row>
    <row r="11" spans="1:12" ht="24" customHeight="1" x14ac:dyDescent="0.3">
      <c r="B11" s="49"/>
      <c r="C11" s="7" t="s">
        <v>17</v>
      </c>
      <c r="D11" s="8" t="s">
        <v>17</v>
      </c>
      <c r="E11" s="8"/>
      <c r="F11" s="8"/>
      <c r="G11" s="6" t="s">
        <v>12</v>
      </c>
    </row>
    <row r="12" spans="1:12" ht="24" customHeight="1" x14ac:dyDescent="0.3">
      <c r="B12" s="49"/>
      <c r="C12" s="7" t="s">
        <v>18</v>
      </c>
      <c r="D12" s="8" t="s">
        <v>18</v>
      </c>
      <c r="E12" s="8"/>
      <c r="F12" s="8"/>
      <c r="G12" s="6" t="s">
        <v>12</v>
      </c>
    </row>
    <row r="13" spans="1:12" ht="24" customHeight="1" x14ac:dyDescent="0.3">
      <c r="B13" s="49"/>
      <c r="C13" s="7" t="s">
        <v>19</v>
      </c>
      <c r="D13" s="8" t="s">
        <v>19</v>
      </c>
      <c r="E13" s="8"/>
      <c r="F13" s="8"/>
      <c r="G13" s="6" t="s">
        <v>12</v>
      </c>
    </row>
    <row r="14" spans="1:12" ht="24" customHeight="1" x14ac:dyDescent="0.3">
      <c r="B14" s="49"/>
      <c r="C14" s="7" t="s">
        <v>20</v>
      </c>
      <c r="D14" s="8" t="s">
        <v>20</v>
      </c>
      <c r="E14" s="8"/>
      <c r="F14" s="8"/>
      <c r="G14" s="6" t="s">
        <v>12</v>
      </c>
    </row>
    <row r="15" spans="1:12" ht="24" customHeight="1" thickBot="1" x14ac:dyDescent="0.35">
      <c r="B15" s="50"/>
      <c r="C15" s="9" t="s">
        <v>21</v>
      </c>
      <c r="D15" s="10" t="s">
        <v>21</v>
      </c>
      <c r="E15" s="10"/>
      <c r="F15" s="10"/>
      <c r="G15" s="11" t="s">
        <v>12</v>
      </c>
    </row>
    <row r="16" spans="1:12" ht="15" thickTop="1" x14ac:dyDescent="0.3"/>
  </sheetData>
  <mergeCells count="9">
    <mergeCell ref="I4:J4"/>
    <mergeCell ref="I5:J5"/>
    <mergeCell ref="I6:J6"/>
    <mergeCell ref="I8:J8"/>
    <mergeCell ref="A1:G1"/>
    <mergeCell ref="A2:G2"/>
    <mergeCell ref="B4:G4"/>
    <mergeCell ref="B5:B15"/>
    <mergeCell ref="B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Sheet1</vt:lpstr>
      <vt:lpstr>Data In</vt:lpstr>
      <vt:lpstr>Data Out</vt:lpstr>
      <vt:lpstr>Settings</vt:lpstr>
      <vt:lpstr>Manifest</vt:lpstr>
      <vt:lpstr>DataChannelCountSetting</vt:lpstr>
      <vt:lpstr>DataDelaySetting</vt:lpstr>
      <vt:lpstr>DataOrientationSetting</vt:lpstr>
      <vt:lpstr>DataRowCountSetting</vt:lpstr>
      <vt:lpstr>Manifest_BaudRate</vt:lpstr>
      <vt:lpstr>Manifest_DataInterval</vt:lpstr>
      <vt:lpstr>Manifest_Generated</vt:lpstr>
      <vt:lpstr>Manifest_Id</vt:lpstr>
      <vt:lpstr>Manifest_Schema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Rizky Maulana</dc:creator>
  <cp:lastModifiedBy>Rizky Maulana</cp:lastModifiedBy>
  <dcterms:created xsi:type="dcterms:W3CDTF">2025-12-11T04:55:03Z</dcterms:created>
  <dcterms:modified xsi:type="dcterms:W3CDTF">2026-01-24T14:03:17Z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2a2f6749-9dfc-4273-b1e4-160af1afd820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</Properties>
</file>